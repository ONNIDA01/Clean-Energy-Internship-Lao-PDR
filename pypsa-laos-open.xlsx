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ydro Plant Data" sheetId="1" r:id="rId4"/>
    <sheet state="hidden" name="Location Data" sheetId="2" r:id="rId5"/>
    <sheet state="hidden" name="Generation Key" sheetId="3" r:id="rId6"/>
    <sheet state="hidden" name="Sheet1" sheetId="4" r:id="rId7"/>
    <sheet state="hidden" name="Sheet2" sheetId="5" r:id="rId8"/>
    <sheet state="hidden" name="River Data Sources" sheetId="6" r:id="rId9"/>
    <sheet state="hidden" name="shape_data" sheetId="7" r:id="rId10"/>
    <sheet state="hidden" name="combined_dams" sheetId="8" r:id="rId11"/>
  </sheets>
  <definedNames>
    <definedName name="time">#REF!</definedName>
    <definedName hidden="1" localSheetId="0" name="Z_56F4F973_DF0D_495C_B4E6_52C9BA7FBB5F_.wvu.FilterData">'Hydro Plant Data'!$A$1:$AZ$117</definedName>
  </definedNames>
  <calcPr/>
  <customWorkbookViews>
    <customWorkbookView activeSheetId="0" maximized="1" windowHeight="0" windowWidth="0" guid="{56F4F973-DF0D-495C-B4E6-52C9BA7FBB5F}" name="Table1 filter view"/>
  </customWorkbookViews>
  <extLst>
    <ext uri="GoogleSheetsCustomDataVersion2">
      <go:sheetsCustomData xmlns:go="http://customooxmlschemas.google.com/" r:id="rId12" roundtripDataChecksum="G4XpXhWXf/5FnaGQ7pQDbwlaakle7j3nEyw28sj55G0="/>
    </ext>
  </extLst>
</workbook>
</file>

<file path=xl/sharedStrings.xml><?xml version="1.0" encoding="utf-8"?>
<sst xmlns="http://schemas.openxmlformats.org/spreadsheetml/2006/main" count="3441" uniqueCount="1128">
  <si>
    <t>Name</t>
  </si>
  <si>
    <t>Type</t>
  </si>
  <si>
    <t>Power Output [MW]</t>
  </si>
  <si>
    <t>Rated flow [m3/s]</t>
  </si>
  <si>
    <t>Design head [m]</t>
  </si>
  <si>
    <t>Turbine efficiency</t>
  </si>
  <si>
    <t>Dam Total Storage [Mm3]</t>
  </si>
  <si>
    <t>Dam Minimum Storage [Mm3]</t>
  </si>
  <si>
    <t>Dam Active storage [Mm3]</t>
  </si>
  <si>
    <t>Dam Average Inflow [m3/s]</t>
  </si>
  <si>
    <t>Dam Catchment Area [km2]</t>
  </si>
  <si>
    <t>EDL Capacity [MW]</t>
  </si>
  <si>
    <t>IPP Capacity [MW]</t>
  </si>
  <si>
    <t>EDL Production [GWh]</t>
  </si>
  <si>
    <t>IPP Production [GWh]</t>
  </si>
  <si>
    <t>Power House Latitude (x)</t>
  </si>
  <si>
    <t>Power House Longitude (y)</t>
  </si>
  <si>
    <t>Dam Latitude (x)</t>
  </si>
  <si>
    <t>Dam Longitude (y)</t>
  </si>
  <si>
    <t>Intake Latitude (x)</t>
  </si>
  <si>
    <t>Intake Longitude (y)</t>
  </si>
  <si>
    <t>Plant type</t>
  </si>
  <si>
    <t>Turbine type</t>
  </si>
  <si>
    <t>Number of Units</t>
  </si>
  <si>
    <t>Units as a list</t>
  </si>
  <si>
    <t>Region</t>
  </si>
  <si>
    <t>River</t>
  </si>
  <si>
    <t>Owner</t>
  </si>
  <si>
    <t>Dam Min [masl]</t>
  </si>
  <si>
    <t>Full Level [masl]</t>
  </si>
  <si>
    <t>Min. Level [masl]</t>
  </si>
  <si>
    <t>Start Year</t>
  </si>
  <si>
    <t>Alternative Dam names (comma separated)</t>
  </si>
  <si>
    <t>Alternative Generator names (comma separated)</t>
  </si>
  <si>
    <t>Hobomaps Link</t>
  </si>
  <si>
    <t>Operator Website</t>
  </si>
  <si>
    <t>Note</t>
  </si>
  <si>
    <t>Nam Peun 2</t>
  </si>
  <si>
    <t>hydro-reservoir</t>
  </si>
  <si>
    <t>Francis</t>
  </si>
  <si>
    <t>Northern</t>
  </si>
  <si>
    <t>Nam Peun</t>
  </si>
  <si>
    <t>IPP</t>
  </si>
  <si>
    <t>Nam Peun 2, Nam Pern 2</t>
  </si>
  <si>
    <t>Nam Peun 2 Dam Hydropower Info</t>
  </si>
  <si>
    <t>Nam Peun 1</t>
  </si>
  <si>
    <t>Nam Peun 2, Nam Pern 3</t>
  </si>
  <si>
    <r>
      <rPr>
        <color rgb="FF1155CC"/>
        <u/>
      </rPr>
      <t>Nam Peun 1 Dam Hydropower Info</t>
    </r>
  </si>
  <si>
    <t>Nam Thea</t>
  </si>
  <si>
    <t>Nam Thea, Nam The, Nam Thae)</t>
  </si>
  <si>
    <r>
      <rPr>
        <color rgb="FF1155CC"/>
        <u/>
      </rPr>
      <t>Nam Thea Dam Hydropower</t>
    </r>
  </si>
  <si>
    <t>Nam Kong 1</t>
  </si>
  <si>
    <t>Southern</t>
  </si>
  <si>
    <t>Nam Kong</t>
  </si>
  <si>
    <r>
      <rPr>
        <color rgb="FF1155CC"/>
        <u/>
      </rPr>
      <t>Nam Kong 1 Dam Hydropower</t>
    </r>
  </si>
  <si>
    <r>
      <rPr>
        <color rgb="FF1155CC"/>
        <u/>
      </rPr>
      <t>Nam Kong 1 – Lao Hydro Power</t>
    </r>
  </si>
  <si>
    <t>Nam Kong 2</t>
  </si>
  <si>
    <r>
      <rPr>
        <color rgb="FF1155CC"/>
        <u/>
      </rPr>
      <t>Nam Kong 2 Dam Hydropower</t>
    </r>
  </si>
  <si>
    <t>Nam Kong 2 – Lao Hydro Power</t>
  </si>
  <si>
    <t>Nam Kong 3</t>
  </si>
  <si>
    <r>
      <rPr>
        <color rgb="FF1155CC"/>
        <u/>
      </rPr>
      <t>Nam Kong 3 Dam Hydropower</t>
    </r>
  </si>
  <si>
    <t>Nam Kong 3 – Lao Hydro Power</t>
  </si>
  <si>
    <t>Xekaman 3</t>
  </si>
  <si>
    <t>Xekaman</t>
  </si>
  <si>
    <r>
      <rPr>
        <color rgb="FF1155CC"/>
        <u/>
      </rPr>
      <t>Xekaman 3 (Sekaman 3) Dam Hydropower Info</t>
    </r>
  </si>
  <si>
    <t>Xe Kaman 3 – Lao Hydro Power</t>
  </si>
  <si>
    <t>Xekaman 1</t>
  </si>
  <si>
    <r>
      <rPr>
        <color rgb="FF1155CC"/>
        <u/>
      </rPr>
      <t>Xekaman 1 (Sekaman 1) Dam Hydropower</t>
    </r>
  </si>
  <si>
    <r>
      <rPr>
        <color rgb="FF1155CC"/>
        <u/>
      </rPr>
      <t>Xe Kaman 1 – Lao Hydro Power</t>
    </r>
  </si>
  <si>
    <t>Xekaman Sanxay</t>
  </si>
  <si>
    <t>Bulb</t>
  </si>
  <si>
    <r>
      <rPr>
        <color rgb="FF1155CC"/>
        <u/>
      </rPr>
      <t>Xekaman Xanxay (Sekaman-Sanxay) Dam Hydropower Info</t>
    </r>
  </si>
  <si>
    <t>Houay Lamphan Gnai</t>
  </si>
  <si>
    <t>Pelton</t>
  </si>
  <si>
    <t xml:space="preserve">Houay Lamphan </t>
  </si>
  <si>
    <t>EDL-Gen</t>
  </si>
  <si>
    <r>
      <rPr>
        <color rgb="FF1155CC"/>
        <u/>
      </rPr>
      <t>Houay Lamphan Gnai Dam Hydropower Info</t>
    </r>
  </si>
  <si>
    <r>
      <rPr>
        <color rgb="FF1155CC"/>
        <u/>
      </rPr>
      <t>https://edlgen.com.la/project/houaylamphanhgnai-hydro-power-plant/?lang=en</t>
    </r>
    <r>
      <rPr/>
      <t xml:space="preserve">, </t>
    </r>
    <r>
      <rPr>
        <color rgb="FF1155CC"/>
        <u/>
      </rPr>
      <t>https://www.laohydropower.com/projects/houay-lamphan-gnai/</t>
    </r>
    <r>
      <rPr/>
      <t xml:space="preserve">, </t>
    </r>
  </si>
  <si>
    <t>Houay Lamphan Gnai Lower</t>
  </si>
  <si>
    <r>
      <rPr>
        <color rgb="FF1155CC"/>
        <u/>
      </rPr>
      <t>Houay Lamphan Lower Dam Hydropower Info</t>
    </r>
  </si>
  <si>
    <t>Xenamnoy 6</t>
  </si>
  <si>
    <t>hydro-run-of-river</t>
  </si>
  <si>
    <t>Xenamnoy</t>
  </si>
  <si>
    <r>
      <rPr>
        <color rgb="FF1155CC"/>
        <u/>
      </rPr>
      <t>Xe Namnoy 6 Dam Hydropower Info</t>
    </r>
  </si>
  <si>
    <t>Xepien Xenamnoi</t>
  </si>
  <si>
    <t>Francis and Pelton</t>
  </si>
  <si>
    <t>3*124, and 1*38</t>
  </si>
  <si>
    <t>Xenamnoi and Xepien</t>
  </si>
  <si>
    <t>Xepian Xe Nam Noi</t>
  </si>
  <si>
    <r>
      <rPr>
        <color rgb="FF1155CC"/>
        <u/>
      </rPr>
      <t>XePian XeNamnoy Dams Hydropower Info</t>
    </r>
  </si>
  <si>
    <r>
      <rPr>
        <color rgb="FF1155CC"/>
        <u/>
      </rPr>
      <t>Xe Pian-Xe Namnoy Project in Laos - ZZPV</t>
    </r>
  </si>
  <si>
    <t>Xekatam (XKXN2)</t>
  </si>
  <si>
    <t>Xekatam</t>
  </si>
  <si>
    <r>
      <rPr>
        <color rgb="FF1155CC"/>
        <u/>
      </rPr>
      <t>XeKatam 1 XeNamnoy 2 Dam Hydropower Info</t>
    </r>
  </si>
  <si>
    <t>Houay Ho</t>
  </si>
  <si>
    <t>2*75, and 1*2.1</t>
  </si>
  <si>
    <r>
      <rPr>
        <color rgb="FF1155CC"/>
        <u/>
      </rPr>
      <t>Houay Ho Dam Hydropower Info</t>
    </r>
  </si>
  <si>
    <r>
      <rPr>
        <color rgb="FF1155CC"/>
        <u/>
      </rPr>
      <t>https://edlgen.com.la/project/houy-ho-hpp/?lang=en</t>
    </r>
    <r>
      <rPr/>
      <t xml:space="preserve">, </t>
    </r>
    <r>
      <rPr>
        <color rgb="FF1155CC"/>
        <u/>
      </rPr>
      <t>https://www.laohydropower.com/projects/houay-ho/</t>
    </r>
    <r>
      <rPr/>
      <t xml:space="preserve">, </t>
    </r>
    <r>
      <rPr>
        <color rgb="FF1155CC"/>
        <u/>
      </rPr>
      <t>https://www.houayho.com/th/home</t>
    </r>
    <r>
      <rPr/>
      <t>,</t>
    </r>
  </si>
  <si>
    <t>Donsahong</t>
  </si>
  <si>
    <t>Mekong</t>
  </si>
  <si>
    <r>
      <rPr>
        <color rgb="FF1155CC"/>
        <u/>
      </rPr>
      <t>Don Sahong Dam Hydropower Info</t>
    </r>
  </si>
  <si>
    <t>DONGSAHONG HPP – EDL-GENERATION PUBLIC COMPANY</t>
  </si>
  <si>
    <t>Tad Chiad</t>
  </si>
  <si>
    <t>Vang Ngao</t>
  </si>
  <si>
    <r>
      <rPr>
        <color rgb="FF1155CC"/>
        <u/>
      </rPr>
      <t>Tad Chiad Dam Hydropower Info</t>
    </r>
  </si>
  <si>
    <t>Xe Set 3</t>
  </si>
  <si>
    <t>1*18, and 1*5</t>
  </si>
  <si>
    <t>Xeset</t>
  </si>
  <si>
    <r>
      <rPr>
        <color rgb="FF1155CC"/>
        <u/>
      </rPr>
      <t>Xeset 3 Dam Hydropower Info</t>
    </r>
  </si>
  <si>
    <r>
      <rPr>
        <color rgb="FF1155CC"/>
        <u/>
      </rPr>
      <t>Xeset 3 – Lao Hydro Power</t>
    </r>
  </si>
  <si>
    <t>Xe Set 2</t>
  </si>
  <si>
    <t>2*38, and 2*5</t>
  </si>
  <si>
    <r>
      <rPr>
        <color rgb="FF1155CC"/>
        <u/>
      </rPr>
      <t>Xeset 2 Dam Hydropower Info</t>
    </r>
  </si>
  <si>
    <t>Xeset2 Hydro Power Plant – EDL-GENERATION PUBLIC COMPANY</t>
  </si>
  <si>
    <t>Xe Set 1</t>
  </si>
  <si>
    <t>3*13, and 2*3</t>
  </si>
  <si>
    <r>
      <rPr>
        <color rgb="FF1155CC"/>
        <u/>
      </rPr>
      <t>Xeset 1 Dam Hydropower Info</t>
    </r>
  </si>
  <si>
    <r>
      <rPr>
        <color rgb="FF1155CC"/>
        <u/>
      </rPr>
      <t>Xeset 1 Hydro Power Plant – EDL-GENERATION PUBLIC COMPANY</t>
    </r>
  </si>
  <si>
    <t>Houay Por</t>
  </si>
  <si>
    <t>Diversion dam</t>
  </si>
  <si>
    <t>2*5, and 2*2.5</t>
  </si>
  <si>
    <t xml:space="preserve">Houay Por and Xeset </t>
  </si>
  <si>
    <r>
      <rPr>
        <color rgb="FF1155CC"/>
        <u/>
      </rPr>
      <t>Houay Por Dam Hydropower Info</t>
    </r>
  </si>
  <si>
    <r>
      <rPr>
        <color rgb="FF1155CC"/>
        <u/>
      </rPr>
      <t>Houay Por – Lao Hydro Power</t>
    </r>
  </si>
  <si>
    <t>Selabam</t>
  </si>
  <si>
    <t>Kaplan</t>
  </si>
  <si>
    <t>3*0.68, 1*3.53, and 2*4</t>
  </si>
  <si>
    <t>Xedon</t>
  </si>
  <si>
    <r>
      <rPr>
        <color rgb="FF1155CC"/>
        <u/>
      </rPr>
      <t>Xelabam Dam Hydropower Info - Selabam Dam Info</t>
    </r>
  </si>
  <si>
    <r>
      <rPr>
        <color rgb="FF1155CC"/>
        <u/>
      </rPr>
      <t>Selabam Expansion Project</t>
    </r>
    <r>
      <rPr>
        <color rgb="FF1F1F1F"/>
      </rPr>
      <t xml:space="preserve">, </t>
    </r>
    <r>
      <rPr>
        <color rgb="FF1155CC"/>
        <u/>
      </rPr>
      <t>https://www.tataconsultingengineers.com/project/selabam-hydropower-project-extension/</t>
    </r>
    <r>
      <rPr>
        <color rgb="FF1F1F1F"/>
      </rPr>
      <t>,</t>
    </r>
  </si>
  <si>
    <t>Phase 3, Number of unit : 2 x 4 MW</t>
  </si>
  <si>
    <t>Xelanong 1</t>
  </si>
  <si>
    <t>2*35</t>
  </si>
  <si>
    <t>Central</t>
  </si>
  <si>
    <t>Xelanong</t>
  </si>
  <si>
    <r>
      <rPr>
        <color rgb="FF1155CC"/>
        <u/>
      </rPr>
      <t>Xe Lanong 1 Dam Hydropower Info</t>
    </r>
  </si>
  <si>
    <r>
      <rPr>
        <color rgb="FF1155CC"/>
        <u/>
      </rPr>
      <t>Xe Lanong 1 – Lao Hydro Power</t>
    </r>
  </si>
  <si>
    <t>RCC gravity dam</t>
  </si>
  <si>
    <t>Nam Theun 2</t>
  </si>
  <si>
    <t>17.679403</t>
  </si>
  <si>
    <t>105.153526</t>
  </si>
  <si>
    <t>17.997667</t>
  </si>
  <si>
    <t>104.954278</t>
  </si>
  <si>
    <t>Francis/Pelton</t>
  </si>
  <si>
    <t>4*(996.5MW)+2*(75MW)</t>
  </si>
  <si>
    <t>Nam Theun</t>
  </si>
  <si>
    <t>https://hobomaps.com/NamTheun2damInfo.html</t>
  </si>
  <si>
    <t>https://www.namtheun2.com/</t>
  </si>
  <si>
    <t>Nam Gnuang 8</t>
  </si>
  <si>
    <t>18.210176</t>
  </si>
  <si>
    <t>104.538788</t>
  </si>
  <si>
    <t>18.296</t>
  </si>
  <si>
    <t>104.636</t>
  </si>
  <si>
    <t>2*30MW</t>
  </si>
  <si>
    <t>Nam Gnouang</t>
  </si>
  <si>
    <t>https://hobomaps.com/TheunHinbounDams.html</t>
  </si>
  <si>
    <t>https://thpc.la/</t>
  </si>
  <si>
    <t>Nam Sor</t>
  </si>
  <si>
    <t>18.604944</t>
  </si>
  <si>
    <t>104.454</t>
  </si>
  <si>
    <t>18.612008</t>
  </si>
  <si>
    <t>104.468459</t>
  </si>
  <si>
    <t>2*2.1MW</t>
  </si>
  <si>
    <t>https://hobomaps.com/NamSorDamInfo.html</t>
  </si>
  <si>
    <t>Nam Phao</t>
  </si>
  <si>
    <t>18.362609</t>
  </si>
  <si>
    <t>105.135183</t>
  </si>
  <si>
    <t>2*0.85MW</t>
  </si>
  <si>
    <t>EDL</t>
  </si>
  <si>
    <t>https://hobomaps.com/NamPhaoHydropower.html</t>
  </si>
  <si>
    <t>Nam Theun 1</t>
  </si>
  <si>
    <t>18.357</t>
  </si>
  <si>
    <t>104.148</t>
  </si>
  <si>
    <t>2*260MW+1*130MW</t>
  </si>
  <si>
    <t>Nam Kading (Nam Theun)</t>
  </si>
  <si>
    <t>https://hobomaps.com/NamTheun1damInfo.html</t>
  </si>
  <si>
    <t>Theun Hinboun</t>
  </si>
  <si>
    <t>18.261</t>
  </si>
  <si>
    <t>104.562</t>
  </si>
  <si>
    <t xml:space="preserve">2*110MW+1*220MW+2*30MW+20MW </t>
  </si>
  <si>
    <t>Nam Theun/Nam Hinboun</t>
  </si>
  <si>
    <t>Nam Hinboun 2</t>
  </si>
  <si>
    <t>18.0238</t>
  </si>
  <si>
    <t>104.424</t>
  </si>
  <si>
    <t>2*15.3MW</t>
  </si>
  <si>
    <t>Nam Hinboun</t>
  </si>
  <si>
    <t>https://hobomaps.com/NamHinboun2dam.html</t>
  </si>
  <si>
    <t>Nam Hinboun Lower</t>
  </si>
  <si>
    <t>17.728</t>
  </si>
  <si>
    <t>104.572</t>
  </si>
  <si>
    <t>https://hobomaps.com/NamHinboun1Dam.html</t>
  </si>
  <si>
    <t>Nam San 3A</t>
  </si>
  <si>
    <t>19.087742</t>
  </si>
  <si>
    <t>103.627918</t>
  </si>
  <si>
    <t>19.130329</t>
  </si>
  <si>
    <t>103.662314</t>
  </si>
  <si>
    <t>2*34.5MW</t>
  </si>
  <si>
    <t>Nam San</t>
  </si>
  <si>
    <t>https://hobomaps.com/NamSan3dams.html</t>
  </si>
  <si>
    <t>https://www.bcpggroup.com/</t>
  </si>
  <si>
    <t>Nam San 3B</t>
  </si>
  <si>
    <t>19.016524</t>
  </si>
  <si>
    <t>103.600029</t>
  </si>
  <si>
    <t>19.084924</t>
  </si>
  <si>
    <t>103.620103</t>
  </si>
  <si>
    <t>2*22.5MW</t>
  </si>
  <si>
    <t>Nam So</t>
  </si>
  <si>
    <t>Tad Lang</t>
  </si>
  <si>
    <t>19.281667</t>
  </si>
  <si>
    <t>103.188611</t>
  </si>
  <si>
    <t>19.304059</t>
  </si>
  <si>
    <t>103.178577</t>
  </si>
  <si>
    <t>Nam Sen</t>
  </si>
  <si>
    <t>https://hobomaps.com/NamSenTadLangHydropower.html</t>
  </si>
  <si>
    <t>Nam Ngiep 3A</t>
  </si>
  <si>
    <t>19.289722</t>
  </si>
  <si>
    <t>103.341667</t>
  </si>
  <si>
    <t>19.298194</t>
  </si>
  <si>
    <t>103.348</t>
  </si>
  <si>
    <t xml:space="preserve">3*13MW  + 2*2.5MW </t>
  </si>
  <si>
    <t>Nam Ngiep</t>
  </si>
  <si>
    <t>https://hobomaps.com/NamNgiep3Adam.html</t>
  </si>
  <si>
    <t>Nam Ngiep 2</t>
  </si>
  <si>
    <t>19.137967</t>
  </si>
  <si>
    <t>103.309299</t>
  </si>
  <si>
    <t>19.2399</t>
  </si>
  <si>
    <t>103.2851</t>
  </si>
  <si>
    <t>3*60MW</t>
  </si>
  <si>
    <t>Nam Sen / Nam Siam</t>
  </si>
  <si>
    <t>https://hobomaps.com/NamNgiep2DamInfo.html</t>
  </si>
  <si>
    <t>Nam Ngiep 2C</t>
  </si>
  <si>
    <t>19.2125</t>
  </si>
  <si>
    <t>103.375</t>
  </si>
  <si>
    <t>2*7.25MW</t>
  </si>
  <si>
    <t>https://hobomaps.com/NamNgiep2Cdam.html</t>
  </si>
  <si>
    <t>Nam Ngiep 2B</t>
  </si>
  <si>
    <t>19.157611</t>
  </si>
  <si>
    <t>103.348361</t>
  </si>
  <si>
    <t>19.186583</t>
  </si>
  <si>
    <t>103.356222</t>
  </si>
  <si>
    <t xml:space="preserve">3*6MW </t>
  </si>
  <si>
    <t>https://hobomaps.com/NamNgiep2Bdam.html</t>
  </si>
  <si>
    <t>Nam Ngiep 2A</t>
  </si>
  <si>
    <t>19.134972</t>
  </si>
  <si>
    <t>103.333306</t>
  </si>
  <si>
    <t>19.153525</t>
  </si>
  <si>
    <t>103.344836</t>
  </si>
  <si>
    <t xml:space="preserve">3*3.5MW </t>
  </si>
  <si>
    <t>https://hobomaps.com/NamNgiep2Adam.html</t>
  </si>
  <si>
    <t>Nam Chiane</t>
  </si>
  <si>
    <t>19.06521</t>
  </si>
  <si>
    <t>103.52122</t>
  </si>
  <si>
    <t>19.298306</t>
  </si>
  <si>
    <t>103.347583</t>
  </si>
  <si>
    <t xml:space="preserve">Pelton </t>
  </si>
  <si>
    <t xml:space="preserve">2*52MW </t>
  </si>
  <si>
    <t>EDL-GEN</t>
  </si>
  <si>
    <t>https://hobomaps.com/NamChiane1dam.html</t>
  </si>
  <si>
    <t>Nam Che</t>
  </si>
  <si>
    <t>19.049196</t>
  </si>
  <si>
    <t>103.50423</t>
  </si>
  <si>
    <t>19.054753</t>
  </si>
  <si>
    <t>103.5135</t>
  </si>
  <si>
    <t>Francis turbine</t>
  </si>
  <si>
    <t>2*8.4MW</t>
  </si>
  <si>
    <t>https://hobomaps.com/NamChe1damInfo.html</t>
  </si>
  <si>
    <t>Nam Aow</t>
  </si>
  <si>
    <t>19.137528</t>
  </si>
  <si>
    <t>103.289667</t>
  </si>
  <si>
    <t>19.160833</t>
  </si>
  <si>
    <t>103.283611</t>
  </si>
  <si>
    <t>Nam Pot / Nam Siam</t>
  </si>
  <si>
    <t>https://hobomaps.com/NamAoNamPotHydropower.html</t>
  </si>
  <si>
    <t>Nam Ngiep 1</t>
  </si>
  <si>
    <t>18.647</t>
  </si>
  <si>
    <t>103.542</t>
  </si>
  <si>
    <t>2*136MW+1*18MW</t>
  </si>
  <si>
    <t>https://hobomaps.com/NamNgiep1DamInfo.html</t>
  </si>
  <si>
    <t>Nam Mang 1</t>
  </si>
  <si>
    <t>18.443083</t>
  </si>
  <si>
    <t>103.172611</t>
  </si>
  <si>
    <t>18.471503</t>
  </si>
  <si>
    <t>3*21.33MW</t>
  </si>
  <si>
    <t>Nam Mang</t>
  </si>
  <si>
    <t>https://hobomaps.com/NamMang1DamInfo.html</t>
  </si>
  <si>
    <t>Nam Mang 3</t>
  </si>
  <si>
    <t>102.740000</t>
  </si>
  <si>
    <t xml:space="preserve">reservoir </t>
  </si>
  <si>
    <t xml:space="preserve">Pelton turbine </t>
  </si>
  <si>
    <t xml:space="preserve">2*20MW </t>
  </si>
  <si>
    <t>Nam Nyang</t>
  </si>
  <si>
    <t>EDL GEN</t>
  </si>
  <si>
    <t xml:space="preserve">  </t>
  </si>
  <si>
    <t>https://hobomaps.com/NamMang3DamInfo.html</t>
  </si>
  <si>
    <t>https://www.google.com/search?q=http://edlgen.com.la/</t>
  </si>
  <si>
    <t>Nam Ngum 5</t>
  </si>
  <si>
    <t>Nam Ting River</t>
  </si>
  <si>
    <t>https://hobomaps.com/NamNgum5Dam.html</t>
  </si>
  <si>
    <t>http://www.powerchina.cn/</t>
  </si>
  <si>
    <t>Nam Ngum 4</t>
  </si>
  <si>
    <t>Nam Ngum River</t>
  </si>
  <si>
    <t>https://hobomaps.com/NamNgum4Dam.html</t>
  </si>
  <si>
    <t>https://www.edl.com.la/</t>
  </si>
  <si>
    <t>Nam Ngum 3</t>
  </si>
  <si>
    <t>IPPS</t>
  </si>
  <si>
    <t>https://hobomaps.com/NamNgum3Dam.html</t>
  </si>
  <si>
    <t>Nam Ngum 2</t>
  </si>
  <si>
    <t>https://hobomaps.com/NamNgum2Dam.html</t>
  </si>
  <si>
    <t>https://www.ckpower.co.th/</t>
  </si>
  <si>
    <t>Nam Ngum 1 (expanded)</t>
  </si>
  <si>
    <t>reservoir</t>
  </si>
  <si>
    <t>https://hobomaps.com/NamNgum1Dam.html</t>
  </si>
  <si>
    <t>Nam Ngum 1</t>
  </si>
  <si>
    <t>Nam Pha Gnai</t>
  </si>
  <si>
    <t>run of river</t>
  </si>
  <si>
    <t>(7.4 MW+7.4 MW+4.4 MW)</t>
  </si>
  <si>
    <t>https://hobomaps.com/NamPhaGnaiDam.html</t>
  </si>
  <si>
    <t>Nam Song</t>
  </si>
  <si>
    <t>Kaplan turbine</t>
  </si>
  <si>
    <t>(2MW+2MW+2MW)</t>
  </si>
  <si>
    <t>Nam Song river</t>
  </si>
  <si>
    <t>https://hobomaps.com/NamSongDiversionDam.html</t>
  </si>
  <si>
    <t xml:space="preserve">Nam Phay </t>
  </si>
  <si>
    <t>resirvoir</t>
  </si>
  <si>
    <t>(43 MW+43 MW)</t>
  </si>
  <si>
    <t>https://hobomaps.com/NamPhayDamInfo.html</t>
  </si>
  <si>
    <t>https://www.google.com/search?q=http://www.norinco-intl.com/</t>
  </si>
  <si>
    <t>Nam Lik 1</t>
  </si>
  <si>
    <t>bulb turbine</t>
  </si>
  <si>
    <t>(32.25MW+39.3)</t>
  </si>
  <si>
    <t xml:space="preserve">Nam Lik </t>
  </si>
  <si>
    <t>https://hobomaps.com/NamLik1DamInfo.html</t>
  </si>
  <si>
    <t>https://www.gpscgroup.com/en/business/project/29/nam-lik-1-power-company-limited-nl1pc#:~:text=Nam%20Lik%20Power%201%20Co,STAKEHOLDER</t>
  </si>
  <si>
    <t>Nam Lik 2</t>
  </si>
  <si>
    <t>(50MW+50MW)</t>
  </si>
  <si>
    <t>https://hobomaps.com/NamLik2DamInfo.html</t>
  </si>
  <si>
    <t>Nam Tha 3</t>
  </si>
  <si>
    <t>Nam Tha river</t>
  </si>
  <si>
    <t>NamTah Saam</t>
  </si>
  <si>
    <t>https://hobomaps.com/NamTha3dam.html</t>
  </si>
  <si>
    <t>Nam Tha 1</t>
  </si>
  <si>
    <t>Nam tah</t>
  </si>
  <si>
    <t>https://hobomaps.com/NamTha1damInfo.html</t>
  </si>
  <si>
    <t>Nam Tha 2</t>
  </si>
  <si>
    <t>Had Muak</t>
  </si>
  <si>
    <t>https://hobomaps.com/NamTha2HadMuakDam.html</t>
  </si>
  <si>
    <t>Nam Talan</t>
  </si>
  <si>
    <t>Nam Tah Lan</t>
  </si>
  <si>
    <t>https://hobomaps.com/NamThaLanDamInfo.html</t>
  </si>
  <si>
    <t>Nam Ou 7</t>
  </si>
  <si>
    <t>Nam Ou</t>
  </si>
  <si>
    <t>https://hobomaps.com/NamOu7damInfo.html</t>
  </si>
  <si>
    <t>Nam Ou 6</t>
  </si>
  <si>
    <t>https://hobomaps.com/NamOu6damInfo.html</t>
  </si>
  <si>
    <t>Nam Ou 5</t>
  </si>
  <si>
    <t>https://hobomaps.com/NamOu5damInfo.html</t>
  </si>
  <si>
    <t>Nam Ou 4</t>
  </si>
  <si>
    <t>(44 MW+44 MW+44 MW)</t>
  </si>
  <si>
    <t>https://hobomaps.com/NamOu4damInfo.html</t>
  </si>
  <si>
    <t>Nam Ou 3</t>
  </si>
  <si>
    <t>(40 MW+40 MW+40 MW)</t>
  </si>
  <si>
    <t>https://hobomaps.com/NamOu3damInfo.html</t>
  </si>
  <si>
    <t>Nam Ou 2</t>
  </si>
  <si>
    <t>https://hobomaps.com/NamOu2damInfo.html</t>
  </si>
  <si>
    <t>Nam Ou 1</t>
  </si>
  <si>
    <t>https://hobomaps.com/NamOu1damInfo.html</t>
  </si>
  <si>
    <t>Nam Nga 2</t>
  </si>
  <si>
    <t>francis</t>
  </si>
  <si>
    <t>(7.25, 7.25)</t>
  </si>
  <si>
    <t>Nam Nga</t>
  </si>
  <si>
    <t>https://hobomaps.com/NamNga2DamInfo.html</t>
  </si>
  <si>
    <t>https://hobomaps.com/NamNga2CDMapply.pdf</t>
  </si>
  <si>
    <t>Nam Long 1</t>
  </si>
  <si>
    <t>(2.8, 2.8)</t>
  </si>
  <si>
    <t xml:space="preserve"> Nam long / a tributary of the Nam Ma</t>
  </si>
  <si>
    <t>https://hobomaps.com/NamLong1Dam.html</t>
  </si>
  <si>
    <t>https://hobomaps.com/NamLong1CDMapplication.pdf</t>
  </si>
  <si>
    <t>Nam Long 2</t>
  </si>
  <si>
    <t>Nam Long /  a tributary of the Nam Ma</t>
  </si>
  <si>
    <t>Under construction</t>
  </si>
  <si>
    <t>Nam long 2</t>
  </si>
  <si>
    <t>https://hobomaps.com/NamLong2Dam.html</t>
  </si>
  <si>
    <t>Nam Leuk</t>
  </si>
  <si>
    <t>(30, 30)</t>
  </si>
  <si>
    <t>Nam Leuk / Nam Mang River</t>
  </si>
  <si>
    <t>https://hobomaps.com/NamLeukDamInfo.html</t>
  </si>
  <si>
    <t>Nam Khan 3</t>
  </si>
  <si>
    <t>Nam Khan River</t>
  </si>
  <si>
    <t>https://hobomaps.com/NamKhan3Dam.html</t>
  </si>
  <si>
    <t>Nam Khan 2</t>
  </si>
  <si>
    <t>(65MW, 65MW)</t>
  </si>
  <si>
    <t>Nam Khan river</t>
  </si>
  <si>
    <t>https://hobomaps.com/NamKhan2Dam.html</t>
  </si>
  <si>
    <t>https://edlgen.com.la/uploads/EIA/Nam-Kan-2-HPP-EIA-Report.pdf</t>
  </si>
  <si>
    <t>Xayaburi</t>
  </si>
  <si>
    <t>(7*175MW, 60MW)</t>
  </si>
  <si>
    <t>Mekong river</t>
  </si>
  <si>
    <t>https://hobomaps.com/SayabouryDamInfo.html</t>
  </si>
  <si>
    <t>https://www.ckpower.co.th/en/projects/hydro-power/58/xayaburi-hydroelectric-power-plant/</t>
  </si>
  <si>
    <t>Xenamnoy 1</t>
  </si>
  <si>
    <t>(7.4MW, 7.4MW)</t>
  </si>
  <si>
    <t>XeNamnoy</t>
  </si>
  <si>
    <t>https://hobomaps.com/XeNamnoy1dam.html</t>
  </si>
  <si>
    <t>Nam Kap</t>
  </si>
  <si>
    <t>pelton</t>
  </si>
  <si>
    <t>(6MW, 6MW)</t>
  </si>
  <si>
    <t>https://hobomaps.com/NamKapDamInfo.html</t>
  </si>
  <si>
    <t>https://hobomaps.com/NamKapCDM.pdf</t>
  </si>
  <si>
    <t>Nam Beng</t>
  </si>
  <si>
    <t>Nam Beng HPP</t>
  </si>
  <si>
    <t>https://hobomaps.com/NamBengDam.html</t>
  </si>
  <si>
    <t>Luang Prabang</t>
  </si>
  <si>
    <t>(7*200MW),(3*20MW)</t>
  </si>
  <si>
    <t>Mekong River</t>
  </si>
  <si>
    <t>2025/65%</t>
  </si>
  <si>
    <t>https://hobomaps.com/LuangPrabangDam.html</t>
  </si>
  <si>
    <t>https://hobomaps.com/LPBdamFeatures.pdf</t>
  </si>
  <si>
    <t>Nam Dong</t>
  </si>
  <si>
    <t>Nam Houng 1</t>
  </si>
  <si>
    <t>Nam Houng River</t>
  </si>
  <si>
    <t>https://hobomaps.com/NamHoung1damInfo.html</t>
  </si>
  <si>
    <t>Nam Ko</t>
  </si>
  <si>
    <t>Nam Ko river</t>
  </si>
  <si>
    <t>https://hobomaps.com/NamKoOudomxayDam.html</t>
  </si>
  <si>
    <t>Nam Ou 9</t>
  </si>
  <si>
    <t>Nam Sana</t>
  </si>
  <si>
    <t>(3*4.69MW)</t>
  </si>
  <si>
    <t>Nam Lik River</t>
  </si>
  <si>
    <t>EDL- GEN</t>
  </si>
  <si>
    <t>https://hobomaps.com/NamSanaDamInfo.html</t>
  </si>
  <si>
    <t>Nam Yaung</t>
  </si>
  <si>
    <t>Nam Yon</t>
  </si>
  <si>
    <t>Tad Salan</t>
  </si>
  <si>
    <t>(1.6MW, 1.6MW)</t>
  </si>
  <si>
    <t>Xe Bang Hieng (river)</t>
  </si>
  <si>
    <t>https://hobomaps.com/TadSalenDamInfo.html</t>
  </si>
  <si>
    <t>Xekatam 1</t>
  </si>
  <si>
    <t>(6.7MW, 6.7MW, 6.7MW)</t>
  </si>
  <si>
    <t>Xekatam River</t>
  </si>
  <si>
    <t>https://hobomaps.com/XeKatam1XeNamnoy2Dam.html</t>
  </si>
  <si>
    <t>Houay Kapheu</t>
  </si>
  <si>
    <t>(2.5 , 2.5)</t>
  </si>
  <si>
    <t>Sedon (Xedon) river.</t>
  </si>
  <si>
    <t>https://hobomaps.com/HouayKapheuDamInfo.html</t>
  </si>
  <si>
    <t>Nam Hao</t>
  </si>
  <si>
    <t>Nam Hao river</t>
  </si>
  <si>
    <t>https://hobomaps.com/NamHaoDamInfo.html</t>
  </si>
  <si>
    <t>Houay Kham</t>
  </si>
  <si>
    <t>Description</t>
  </si>
  <si>
    <t>Component</t>
  </si>
  <si>
    <t>Bus</t>
  </si>
  <si>
    <t>Plant</t>
  </si>
  <si>
    <t>x</t>
  </si>
  <si>
    <t>y</t>
  </si>
  <si>
    <t>GeoData</t>
  </si>
  <si>
    <t>Donsahong (Cambodia Export)</t>
  </si>
  <si>
    <t>B_Donsahong</t>
  </si>
  <si>
    <t>Hongsa</t>
  </si>
  <si>
    <t>Hongsa-coal factory</t>
  </si>
  <si>
    <t>Houay Lampan Gnai</t>
  </si>
  <si>
    <t>B_Houaylamphan Gnai</t>
  </si>
  <si>
    <t>Houay Lampan Gnai Lower</t>
  </si>
  <si>
    <t>B_Houaylamphan Gnai Lower</t>
  </si>
  <si>
    <t>B_Houay Por</t>
  </si>
  <si>
    <t>HouayHo Hyroelectric Plant</t>
  </si>
  <si>
    <t>B_Houay Ho</t>
  </si>
  <si>
    <t>Mit-Laos Sugar Factory</t>
  </si>
  <si>
    <t>Mit-Laos sugar factory</t>
  </si>
  <si>
    <t>B_Nam Aow</t>
  </si>
  <si>
    <t>B_Nam Beng</t>
  </si>
  <si>
    <t>Nam Chea</t>
  </si>
  <si>
    <t>B_Nam Che</t>
  </si>
  <si>
    <t>B_Nam Chiane</t>
  </si>
  <si>
    <t>B_Nam Khan 2</t>
  </si>
  <si>
    <t>B_Nam Khan 3</t>
  </si>
  <si>
    <t>Nam Khong 1</t>
  </si>
  <si>
    <t>B_Nam Kong 1</t>
  </si>
  <si>
    <t>Nam Khong 2</t>
  </si>
  <si>
    <t>B_Nam Kong 2</t>
  </si>
  <si>
    <t>Nam Khong 3</t>
  </si>
  <si>
    <t>B_Nam Kong 3</t>
  </si>
  <si>
    <t>B_Nam Leuk</t>
  </si>
  <si>
    <t>B_Nam Lik 1</t>
  </si>
  <si>
    <t>Nam Lik 1.2</t>
  </si>
  <si>
    <t>B_Nam Lik 2</t>
  </si>
  <si>
    <t>Nam Long</t>
  </si>
  <si>
    <t>B_Nam Long</t>
  </si>
  <si>
    <t>B_Nam Mang 1</t>
  </si>
  <si>
    <t>B_Nam Nga 2</t>
  </si>
  <si>
    <t>B_Nam Ngiep 1</t>
  </si>
  <si>
    <t>B_Nam Ngiep 2A</t>
  </si>
  <si>
    <t>B_Nam Ngiep 2B</t>
  </si>
  <si>
    <t>Nam ngiep 2B</t>
  </si>
  <si>
    <t>B_Dam Nam Ngiep 2C</t>
  </si>
  <si>
    <t>B_Nam Ngiep 3A</t>
  </si>
  <si>
    <t>B_Nam Ngum 1</t>
  </si>
  <si>
    <t>B_Nam Ngum 2</t>
  </si>
  <si>
    <t>B_Nam Ngum 3</t>
  </si>
  <si>
    <t>B_Nam Ngum 4</t>
  </si>
  <si>
    <t>B_Nam Ngum 5</t>
  </si>
  <si>
    <t>Nam ngum 5</t>
  </si>
  <si>
    <t>Nam Nyon</t>
  </si>
  <si>
    <t>B_Nam Nyon 8</t>
  </si>
  <si>
    <t>B_Nam Ou 1</t>
  </si>
  <si>
    <t>B_Nam Ou 2</t>
  </si>
  <si>
    <t>B_Nam Ou 3</t>
  </si>
  <si>
    <t>B_Nam Ou 4</t>
  </si>
  <si>
    <t>B_Nam Ou 5</t>
  </si>
  <si>
    <t>B_Nam Ou 6</t>
  </si>
  <si>
    <t>B_Nam Ou 7</t>
  </si>
  <si>
    <t>B_Nam Peun 1</t>
  </si>
  <si>
    <t>B_Nam Peun 2</t>
  </si>
  <si>
    <t>Nam Phagnai</t>
  </si>
  <si>
    <t>B_Nam Pha Gnai</t>
  </si>
  <si>
    <t>Nam Phay</t>
  </si>
  <si>
    <t>B_Nam Phay</t>
  </si>
  <si>
    <t>B_Nam San 3A</t>
  </si>
  <si>
    <t>B_Nam San 3B</t>
  </si>
  <si>
    <t>B_Nam Sana</t>
  </si>
  <si>
    <t>Nam Sen-Tad Lang</t>
  </si>
  <si>
    <t>B_Nam Sen</t>
  </si>
  <si>
    <t>B_Nam Song</t>
  </si>
  <si>
    <t>B_Nam Tha 1</t>
  </si>
  <si>
    <t>B_Nam Tha 3</t>
  </si>
  <si>
    <t>B_Nam Thea</t>
  </si>
  <si>
    <t>B_Nam Theun 1</t>
  </si>
  <si>
    <t>B_Nam Theun 2</t>
  </si>
  <si>
    <t>Namhinbun (Bottom Part)</t>
  </si>
  <si>
    <t>B_Nam Hinboun Lower</t>
  </si>
  <si>
    <t>Namhinbun 2</t>
  </si>
  <si>
    <t>B_Nam Hinboun 2</t>
  </si>
  <si>
    <t>Sayaboury</t>
  </si>
  <si>
    <t>B_Xayaburi</t>
  </si>
  <si>
    <t>B_Selabam</t>
  </si>
  <si>
    <t>B_Tad Chiad</t>
  </si>
  <si>
    <t>Tadsalan</t>
  </si>
  <si>
    <t>B_Theun Hinboun</t>
  </si>
  <si>
    <t>Xe Namnoy 1</t>
  </si>
  <si>
    <t>B_Xe Namnoy 1</t>
  </si>
  <si>
    <t>Xenamonoy 1</t>
  </si>
  <si>
    <t>B_Xe Kaman 1</t>
  </si>
  <si>
    <t>B_Xe Kaman 3</t>
  </si>
  <si>
    <t>B_Xe Kaman Sanxay</t>
  </si>
  <si>
    <t>B_Xe Lanong</t>
  </si>
  <si>
    <t>Xenamnoi 6</t>
  </si>
  <si>
    <t>B_Xe Namnoy 6</t>
  </si>
  <si>
    <t>Xenamonoy 6</t>
  </si>
  <si>
    <t>Xeset 1</t>
  </si>
  <si>
    <t>B_Xe Set 1</t>
  </si>
  <si>
    <t>Xeset 2</t>
  </si>
  <si>
    <t>B_Xe Set 2</t>
  </si>
  <si>
    <t>Xeset 3</t>
  </si>
  <si>
    <t>B_Xe Set 3</t>
  </si>
  <si>
    <t>XKXN2</t>
  </si>
  <si>
    <t>B_XKXN2</t>
  </si>
  <si>
    <t>XPXN</t>
  </si>
  <si>
    <t>B_XPXN</t>
  </si>
  <si>
    <t>DSH dam</t>
  </si>
  <si>
    <t>POINT Z (105.9612997 13.9594126 0)</t>
  </si>
  <si>
    <t>POINT Z (105.9652873 13.9597112 0)</t>
  </si>
  <si>
    <t>POINT Z (105.9600917 13.9426099 0)</t>
  </si>
  <si>
    <t>DSH overflow spillway</t>
  </si>
  <si>
    <t>POINT Z (105.9583217 13.9483584 0)</t>
  </si>
  <si>
    <t>DSH powerhouse</t>
  </si>
  <si>
    <t>POINT Z (105.9559229 13.9439514 0)</t>
  </si>
  <si>
    <t>HH dam</t>
  </si>
  <si>
    <t>POINT Z (106.7643668 15.0598241 0)</t>
  </si>
  <si>
    <t>HH spillway</t>
  </si>
  <si>
    <t>POINT Z (106.763225 15.0586952 0)</t>
  </si>
  <si>
    <t>HH power intake</t>
  </si>
  <si>
    <t>POINT Z (106.806983 15.0650529 0)</t>
  </si>
  <si>
    <t>HHo penstock</t>
  </si>
  <si>
    <t>LINESTRING Z (106.806997 15.0650811 0, 106.8074908 15.0653878 0, 106.8146236 15.0696885 0, 106.829172 15.0786133 0)</t>
  </si>
  <si>
    <t>HH powerhouse</t>
  </si>
  <si>
    <t>POINT Z (106.8292663 15.0786574 0)</t>
  </si>
  <si>
    <t>HLG diversion outlet</t>
  </si>
  <si>
    <t>POINT Z (106.4886885 15.3445817 0)</t>
  </si>
  <si>
    <t>HLG main dam</t>
  </si>
  <si>
    <t>POINT Z (106.4982909 15.3564792 0)</t>
  </si>
  <si>
    <t>HLG spillway</t>
  </si>
  <si>
    <t>POINT Z (106.5004559 15.3563914 0)</t>
  </si>
  <si>
    <t>HLG power intake</t>
  </si>
  <si>
    <t>POINT Z (106.5314651 15.3347941 0)</t>
  </si>
  <si>
    <t>HLG penstock</t>
  </si>
  <si>
    <t>LINESTRING Z (106.5314805 15.3348178 0, 106.5549065 15.341177 0, 106.5721259 15.3492636 0, 106.5863359 15.3563924 0)</t>
  </si>
  <si>
    <t>HLG powerhouse</t>
  </si>
  <si>
    <t>POINT Z (106.5864674 15.3564688 0)</t>
  </si>
  <si>
    <t>HPor diversion dam</t>
  </si>
  <si>
    <t>POINT Z (106.2607141 15.5436916 0)</t>
  </si>
  <si>
    <t>HPor river intake</t>
  </si>
  <si>
    <t>POINT Z (106.2610141 15.5434567 0)</t>
  </si>
  <si>
    <t>HPor diversion canal</t>
  </si>
  <si>
    <t>LINESTRING Z (106.2610047 15.5434561 0, 106.2604839 15.5426261 0, 106.259494 15.5420978 0, 106.2593027 15.5420153 0, 106.2591804 15.5420064 0, 106.259054 15.5420387 0, 106.2589259 15.5421234 0, 106.257253 15.5434723 0, 106.2565537 15.5437552 0, 106.2549212 15.5452314 0, 106.2480275 15.5483939 0, 106.247949 15.5484 0, 106.245871 15.5480708 0, 106.2456898 15.5480869 0, 106.2386253 15.5494957 0)</t>
  </si>
  <si>
    <t>HPor headpond dam</t>
  </si>
  <si>
    <t>POINT Z (106.2348463 15.5542523 0)</t>
  </si>
  <si>
    <t>HPor headrace intake</t>
  </si>
  <si>
    <t>POINT Z (106.234259 15.5538786 0)</t>
  </si>
  <si>
    <t>HPor headrace canal</t>
  </si>
  <si>
    <t>LINESTRING Z (106.2342427 15.5539058 0, 106.2340889 15.5541255 0, 106.2336245 15.5543834 0, 106.2329019 15.5548064 0, 106.2320468 15.5570167 0, 106.2319612 15.5571139 0, 106.2308745 15.5577412 0, 106.2260603 15.5638146 0, 106.2245769 15.5661486 0, 106.2242327 15.5666396 0)</t>
  </si>
  <si>
    <t>HPor canal spillway?</t>
  </si>
  <si>
    <t>POINT Z (106.2306674 15.5582937 0)</t>
  </si>
  <si>
    <t>HPor headrace canal spillway</t>
  </si>
  <si>
    <t>POINT Z (106.2243326 15.5665338 0)</t>
  </si>
  <si>
    <t>HPor penstock intake</t>
  </si>
  <si>
    <t>POINT Z (106.2241985 15.5666599 0)</t>
  </si>
  <si>
    <t>HPor penstock</t>
  </si>
  <si>
    <t>LINESTRING Z (106.2242101 15.5666711 0, 106.2241277 15.5667988 0, 106.2228322 15.5749591 0, 106.2228943 15.5756489 0)</t>
  </si>
  <si>
    <t>HPor powerhouse</t>
  </si>
  <si>
    <t>POINT Z (106.2229902 15.5757393 0)</t>
  </si>
  <si>
    <t>HPor tailrace</t>
  </si>
  <si>
    <t>LINESTRING Z (106.2231042 15.5758123 0, 106.2233168 15.576084 0, 106.224496 15.5773028 0, 106.2250494 15.5778715 0, 106.2269926 15.5798457 0, 106.2272131 15.5800696 0, 106.229352 15.5836629 0, 106.2294748 15.5838015 0, 106.2296397 15.5839411 0, 106.2321896 15.5860735 0, 106.2337848 15.5874283 0, 106.2338484 15.5875397 0, 106.2341639 15.5887728 0)</t>
  </si>
  <si>
    <t>HPor tailrace spillway</t>
  </si>
  <si>
    <t>POINT Z (106.224647 15.5775663 0)</t>
  </si>
  <si>
    <t>LHL dam</t>
  </si>
  <si>
    <t>Lower Houay Lamphan</t>
  </si>
  <si>
    <t>POINT Z (106.630184 15.3216488 0)</t>
  </si>
  <si>
    <t>LHL spillway</t>
  </si>
  <si>
    <t>POINT Z (106.6311448 15.3233558 0)</t>
  </si>
  <si>
    <t>LHL power intake</t>
  </si>
  <si>
    <t>POINT Z (106.6288871 15.3194484 0)</t>
  </si>
  <si>
    <t>LHL powerhouse</t>
  </si>
  <si>
    <t>POINT Z (106.6306877 15.3196307 0)</t>
  </si>
  <si>
    <t>NChe1 dam</t>
  </si>
  <si>
    <t>Nam Che 1</t>
  </si>
  <si>
    <t>POINT Z (103.513501 19.054626 0)</t>
  </si>
  <si>
    <t>NChe1 powerhouse</t>
  </si>
  <si>
    <t>POINT Z (103.5048732 19.0479822 0)</t>
  </si>
  <si>
    <t>NC1 powerhouse</t>
  </si>
  <si>
    <t>Nam Chiane 1</t>
  </si>
  <si>
    <t>POINT Z (103.521424 19.0657609 0)</t>
  </si>
  <si>
    <t>NK2 dam</t>
  </si>
  <si>
    <t>POINT Z (102.3685327 19.6801769 0)</t>
  </si>
  <si>
    <t>NK2 spillway</t>
  </si>
  <si>
    <t>POINT Z (102.3697424 19.6852337 0)</t>
  </si>
  <si>
    <t>NK2 power intake 1</t>
  </si>
  <si>
    <t>POINT Z (102.3703188 19.6838575 0)</t>
  </si>
  <si>
    <t>NK2 power intake 2</t>
  </si>
  <si>
    <t>POINT Z (102.3705419 19.6843966 0)</t>
  </si>
  <si>
    <t>NK2 powerhouse</t>
  </si>
  <si>
    <t>POINT Z (102.3679797 19.6839892 0)</t>
  </si>
  <si>
    <t>NK3 dam</t>
  </si>
  <si>
    <t>POINT Z (102.2227806 19.7470112 0)</t>
  </si>
  <si>
    <t>NK3 powerhouse</t>
  </si>
  <si>
    <t>POINT Z (102.2216321 19.7482877 0)</t>
  </si>
  <si>
    <t>NK1 dam</t>
  </si>
  <si>
    <t>POINT Z (106.7412149 14.546717 0)</t>
  </si>
  <si>
    <t>NK1 spillway</t>
  </si>
  <si>
    <t>POINT Z (106.7392767 14.5452674 0)</t>
  </si>
  <si>
    <t>NK1 power intake</t>
  </si>
  <si>
    <t>POINT Z (106.7445356 14.5460969 0)</t>
  </si>
  <si>
    <t>NK1 surge tank</t>
  </si>
  <si>
    <t>POINT Z (106.7391683 14.5717979 0)</t>
  </si>
  <si>
    <t>NK1 tailrace outlet</t>
  </si>
  <si>
    <t>POINT Z (106.7338394 14.5828301 0)</t>
  </si>
  <si>
    <t>POINT Z (106.8566389 14.4947387 0)</t>
  </si>
  <si>
    <t>NK2 saddle dam</t>
  </si>
  <si>
    <t>POINT Z (106.850059 14.4969994 0)</t>
  </si>
  <si>
    <t>NK2 power intake</t>
  </si>
  <si>
    <t>POINT Z (106.8357205 14.5049046 0)</t>
  </si>
  <si>
    <t>NK2 surge tank</t>
  </si>
  <si>
    <t>POINT Z (106.8254149 14.4991818 0)</t>
  </si>
  <si>
    <t>POINT Z (106.8211623 14.4977828 0)</t>
  </si>
  <si>
    <t>POINT Z (106.9192657 14.5725533 0)</t>
  </si>
  <si>
    <t>NK3 power intake</t>
  </si>
  <si>
    <t>POINT Z (106.9117647 14.5733725 0)</t>
  </si>
  <si>
    <t>POINT Z (106.9119324 14.5670731 0)</t>
  </si>
  <si>
    <t>NLK main dam</t>
  </si>
  <si>
    <t>POINT Z (102.946716 18.4371912 0)</t>
  </si>
  <si>
    <t>NLK spillway</t>
  </si>
  <si>
    <t>POINT Z (102.9479386 18.4386008 0)</t>
  </si>
  <si>
    <t>NLK labyrinth spillway</t>
  </si>
  <si>
    <t>POINT Z (102.9593593 18.4523194 0)</t>
  </si>
  <si>
    <t>NLK power intake</t>
  </si>
  <si>
    <t>POINT Z (102.9373268 18.5057598 0)</t>
  </si>
  <si>
    <t>NLK surge tank</t>
  </si>
  <si>
    <t>POINT Z (102.9390725 18.5284091 0)</t>
  </si>
  <si>
    <t>NLK powerhouse</t>
  </si>
  <si>
    <t>POINT Z (102.9387752 18.53523 0)</t>
  </si>
  <si>
    <t>NL2 main dam</t>
  </si>
  <si>
    <t>Nam Lik 1-2</t>
  </si>
  <si>
    <t>POINT Z (102.1166323 18.7936867 0)</t>
  </si>
  <si>
    <t>NL2 saddle dam</t>
  </si>
  <si>
    <t>POINT Z (102.1219935 18.8036916 0)</t>
  </si>
  <si>
    <t>POINT Z (102.1229493 18.8042769 0)</t>
  </si>
  <si>
    <t>NL2 spillway (inlet)</t>
  </si>
  <si>
    <t>POINT Z (102.1182548 18.7949657 0)</t>
  </si>
  <si>
    <t>NL2 spillway (outlet)</t>
  </si>
  <si>
    <t>POINT Z (102.1202629 18.7908818 0)</t>
  </si>
  <si>
    <t>NL2 LLO inlet</t>
  </si>
  <si>
    <t>POINT Z (102.1139365 18.7938734 0)</t>
  </si>
  <si>
    <t>NL2 LLO outlet</t>
  </si>
  <si>
    <t>POINT Z (102.1188109 18.7903426 0)</t>
  </si>
  <si>
    <t>NL2 power intake</t>
  </si>
  <si>
    <t>POINT Z (102.1146816 18.7934654 0)</t>
  </si>
  <si>
    <t>NL2 powerhouse</t>
  </si>
  <si>
    <t>POINT Z (102.1180075 18.7915147 0)</t>
  </si>
  <si>
    <t>POINT Z (102.3874399 18.6192231 0)</t>
  </si>
  <si>
    <t>NK1 powerhouse</t>
  </si>
  <si>
    <t>POINT Z (102.387061 18.6187491 0)</t>
  </si>
  <si>
    <t>NM3 main dam</t>
  </si>
  <si>
    <t>POINT Z (102.8035912 18.3548065 0)</t>
  </si>
  <si>
    <t>NM3 saddle dam</t>
  </si>
  <si>
    <t>POINT Z (102.7652637 18.34966 0)</t>
  </si>
  <si>
    <t>NM3 power intake</t>
  </si>
  <si>
    <t>POINT Z (102.7650025 18.348315 0)</t>
  </si>
  <si>
    <t>NM3 powerhouse</t>
  </si>
  <si>
    <t>POINT Z (102.7358721 18.3315929 0)</t>
  </si>
  <si>
    <t>NM3 regulating outlet</t>
  </si>
  <si>
    <t>POINT Z (102.7205654 18.3366267 0)</t>
  </si>
  <si>
    <t>NGP2 tributary dam</t>
  </si>
  <si>
    <t>POINT Z (103.3426939 19.2868192 0)</t>
  </si>
  <si>
    <t>NGP2 tributary intake</t>
  </si>
  <si>
    <t>POINT Z (103.3423134 19.286709 0)</t>
  </si>
  <si>
    <t>NGP2 main dam</t>
  </si>
  <si>
    <t>POINT Z (103.2839923 19.2430424 0)</t>
  </si>
  <si>
    <t>NGP2 spillway</t>
  </si>
  <si>
    <t>POINT Z (103.2828618 19.2413347 0)</t>
  </si>
  <si>
    <t>NGP2 diversion (LLO) inlet</t>
  </si>
  <si>
    <t>POINT Z (103.2804819 19.2411279 0)</t>
  </si>
  <si>
    <t>NGP2 power intake</t>
  </si>
  <si>
    <t>POINT Z (103.2803713 19.2407102 0)</t>
  </si>
  <si>
    <t>NGP2 LLO outlet</t>
  </si>
  <si>
    <t>POINT Z (103.2845699 19.2401538 0)</t>
  </si>
  <si>
    <t>NGP2 powerhouse</t>
  </si>
  <si>
    <t>POINT Z (103.3096639 19.1375745 0)</t>
  </si>
  <si>
    <t>NGP3A dam</t>
  </si>
  <si>
    <t>POINT Z (103.3522717 19.2998735 0)</t>
  </si>
  <si>
    <t>NGP3A spillway</t>
  </si>
  <si>
    <t>POINT Z (103.3478454 19.2980617 0)</t>
  </si>
  <si>
    <t>NGP3A power intake</t>
  </si>
  <si>
    <t>POINT Z (103.3464509 19.2981881 0)</t>
  </si>
  <si>
    <t>NGP3A surge chamber</t>
  </si>
  <si>
    <t>POINT Z (103.3451161 19.2941085 0)</t>
  </si>
  <si>
    <t>NGP3A powerhouse</t>
  </si>
  <si>
    <t>POINT Z (103.3421248 19.2892361 0)</t>
  </si>
  <si>
    <t>NN1 dam</t>
  </si>
  <si>
    <t>POINT Z (102.5477519 18.5305668 0)</t>
  </si>
  <si>
    <t>NN1 spillway</t>
  </si>
  <si>
    <t>POINT Z (102.5474712 18.5314772 0)</t>
  </si>
  <si>
    <t>NN1 powerhouse</t>
  </si>
  <si>
    <t>POINT Z (102.5473074 18.5302489 0)</t>
  </si>
  <si>
    <t>NN1 expansion intake</t>
  </si>
  <si>
    <t>POINT Z (102.5480153 18.5329066 0)</t>
  </si>
  <si>
    <t>NN1 expansion powerhouse</t>
  </si>
  <si>
    <t>POINT Z (102.545091 18.5327515 0)</t>
  </si>
  <si>
    <t>NN2 intake</t>
  </si>
  <si>
    <t>POINT Z (102.7789913 18.7545637 0)</t>
  </si>
  <si>
    <t>NN2 dam</t>
  </si>
  <si>
    <t>POINT Z (102.7758555 18.7532988 0)</t>
  </si>
  <si>
    <t>NN2 spillway</t>
  </si>
  <si>
    <t>POINT Z (102.7733355 18.7534017 0)</t>
  </si>
  <si>
    <t>NN2 powerhouse</t>
  </si>
  <si>
    <t>POINT Z (102.7758733 18.7500272 0)</t>
  </si>
  <si>
    <t>NPY dam</t>
  </si>
  <si>
    <t>POINT Z (102.7787497 19.112319 0)</t>
  </si>
  <si>
    <t>NPY spillway</t>
  </si>
  <si>
    <t>POINT Z (102.7773281 19.1106912 0)</t>
  </si>
  <si>
    <t>NPY power intake</t>
  </si>
  <si>
    <t>POINT Z (102.7257923 19.0926696 0)</t>
  </si>
  <si>
    <t>NPY powerhouse</t>
  </si>
  <si>
    <t>POINT Z (102.7440415 19.0333032 0)</t>
  </si>
  <si>
    <t>NS3A dam</t>
  </si>
  <si>
    <t>Nam Sane 3A</t>
  </si>
  <si>
    <t>POINT Z (103.6621919 19.1299654 0)</t>
  </si>
  <si>
    <t>NS3B dam</t>
  </si>
  <si>
    <t>Nam Sane 3B</t>
  </si>
  <si>
    <t>POINT Z (103.6199575 19.0846341 0)</t>
  </si>
  <si>
    <t>NS3B surge tank</t>
  </si>
  <si>
    <t>POINT Z (103.6076399 19.0250071 0)</t>
  </si>
  <si>
    <t>NS3B powerhouse</t>
  </si>
  <si>
    <t>POINT Z (103.5995816 19.0164222 0)</t>
  </si>
  <si>
    <t>NSG dam</t>
  </si>
  <si>
    <t>POINT Z (102.4268862 18.7986294 0)</t>
  </si>
  <si>
    <t>NSG powerhouse</t>
  </si>
  <si>
    <t>POINT Z (102.4575323 18.8037121 0)</t>
  </si>
  <si>
    <t>NSG sluice gate</t>
  </si>
  <si>
    <t>POINT Z (102.4556009 18.8029205 0)</t>
  </si>
  <si>
    <t>NT1 dam</t>
  </si>
  <si>
    <t>POINT Z (104.1473364 18.3547451 0)</t>
  </si>
  <si>
    <t>NT1 power intake</t>
  </si>
  <si>
    <t>POINT Z (104.1493036 18.3551392 0)</t>
  </si>
  <si>
    <t>NT1 powerhouse</t>
  </si>
  <si>
    <t>POINT Z (104.1476373 18.3512589 0)</t>
  </si>
  <si>
    <t>NT2 main (Nakai) dam</t>
  </si>
  <si>
    <t>POINT Z (104.9522304 17.9973212 0)</t>
  </si>
  <si>
    <t>NT2 power intake</t>
  </si>
  <si>
    <t>POINT Z (105.1637481 17.7034098 0)</t>
  </si>
  <si>
    <t>NT2 surge tank</t>
  </si>
  <si>
    <t>POINT Z (105.1570347 17.691474 0)</t>
  </si>
  <si>
    <t>NT2 powerhouse</t>
  </si>
  <si>
    <t>POINT Z (105.1530391 17.680829 0)</t>
  </si>
  <si>
    <t>NT2 regulating dam</t>
  </si>
  <si>
    <t>POINT Z (105.1710821 17.650792 0)</t>
  </si>
  <si>
    <t>NT2 canal aeration weir</t>
  </si>
  <si>
    <t>POINT Z (105.1677383 17.5824988 0)</t>
  </si>
  <si>
    <t>NG8 dam</t>
  </si>
  <si>
    <t>Theun Hinboun &amp; expansion</t>
  </si>
  <si>
    <t>POINT Z (104.6364459 18.295927 0)</t>
  </si>
  <si>
    <t>NG8 power intake</t>
  </si>
  <si>
    <t>POINT Z (104.6381987 18.295315 0)</t>
  </si>
  <si>
    <t>THB dam</t>
  </si>
  <si>
    <t>POINT Z (104.5626323 18.2613332 0)</t>
  </si>
  <si>
    <t>THB gated spillway</t>
  </si>
  <si>
    <t>POINT Z (104.5626956 18.260356 0)</t>
  </si>
  <si>
    <t>THB power intake</t>
  </si>
  <si>
    <t>POINT Z (104.562887 18.2598726 0)</t>
  </si>
  <si>
    <t>THB powerhouse</t>
  </si>
  <si>
    <t>POINT Z (104.5386471 18.2099252 0)</t>
  </si>
  <si>
    <t>THB regulating dam</t>
  </si>
  <si>
    <t>POINT Z (104.549388 18.1842608 0)</t>
  </si>
  <si>
    <t>NG8 powerhouse</t>
  </si>
  <si>
    <t>POINT Z (104.6370398 18.2938425 0)</t>
  </si>
  <si>
    <t>XK1 dam</t>
  </si>
  <si>
    <t>POINT Z (107.1554361 14.9606758 0)</t>
  </si>
  <si>
    <t>XK3 dam</t>
  </si>
  <si>
    <t>POINT Z (107.3679913 15.4259989 0)</t>
  </si>
  <si>
    <t>XK3 powerhouse</t>
  </si>
  <si>
    <t>POINT Z (107.4049966 15.3737633 0)</t>
  </si>
  <si>
    <t>XKXN dam</t>
  </si>
  <si>
    <t>Xekaman Sanxai</t>
  </si>
  <si>
    <t>POINT Z (107.1172078 14.8888257 0)</t>
  </si>
  <si>
    <t>XKXN powerhouse</t>
  </si>
  <si>
    <t>POINT Z (107.1166373 14.8895469 0)</t>
  </si>
  <si>
    <t>XK1XN2 dam</t>
  </si>
  <si>
    <t>XeKatam 1 - XeNamNoy 2</t>
  </si>
  <si>
    <t>POINT Z (106.5656257 15.1050059 0)</t>
  </si>
  <si>
    <t>XK1XN2 diversion intake</t>
  </si>
  <si>
    <t>POINT Z (106.5653931 15.1055237 0)</t>
  </si>
  <si>
    <t>POINT Z (106.5867988 15.1158645 0)</t>
  </si>
  <si>
    <t>POINT Z (106.6165851 15.1179524 0)</t>
  </si>
  <si>
    <t>XK1XN2 river intake</t>
  </si>
  <si>
    <t>POINT Z (106.616637 15.1177102 0)</t>
  </si>
  <si>
    <t>XK1XN2 surge tank</t>
  </si>
  <si>
    <t>POINT Z (106.6244872 15.1201168 0)</t>
  </si>
  <si>
    <t>XK1XN2 powerhouse</t>
  </si>
  <si>
    <t>POINT Z (106.641254 15.1222372 0)</t>
  </si>
  <si>
    <t>XLB weir</t>
  </si>
  <si>
    <t>Xelabam</t>
  </si>
  <si>
    <t>POINT Z (105.8321586 15.3561235 0)</t>
  </si>
  <si>
    <t>POINT Z (105.8302922 15.3589064 0)</t>
  </si>
  <si>
    <t>POINT Z (105.8297163 15.3600256 0)</t>
  </si>
  <si>
    <t>XLB power intake 1</t>
  </si>
  <si>
    <t>POINT Z (105.8335226 15.3554286 0)</t>
  </si>
  <si>
    <t>XLB power intake 3</t>
  </si>
  <si>
    <t>POINT Z (105.8331857 15.3552158 0)</t>
  </si>
  <si>
    <t>XLB surge tank 2a</t>
  </si>
  <si>
    <t>POINT Z (105.8336115 15.3541702 0)</t>
  </si>
  <si>
    <t>XLB surge tank 2b</t>
  </si>
  <si>
    <t>POINT Z (105.8333767 15.3543802 0)</t>
  </si>
  <si>
    <t>XLB surge tank 3</t>
  </si>
  <si>
    <t>POINT Z (105.8328692 15.354553 0)</t>
  </si>
  <si>
    <t>XLB powerhouse no.1</t>
  </si>
  <si>
    <t>POINT Z (105.8342065 15.3545511 0)</t>
  </si>
  <si>
    <t>XLB powerhouse no.2</t>
  </si>
  <si>
    <t>POINT Z (105.8332891 15.353998 0)</t>
  </si>
  <si>
    <t>XLB powerhouse no.3</t>
  </si>
  <si>
    <t>POINT Z (105.8329284 15.3542626 0)</t>
  </si>
  <si>
    <t>XNN1 dam</t>
  </si>
  <si>
    <t>XeNamNoy 1</t>
  </si>
  <si>
    <t>POINT Z (106.6777517 15.1341843 0)</t>
  </si>
  <si>
    <t>XNN1 river intake</t>
  </si>
  <si>
    <t>POINT Z (106.6780414 15.1337043 0)</t>
  </si>
  <si>
    <t>XNN1 power intake</t>
  </si>
  <si>
    <t>POINT Z (106.7179818 15.1509777 0)</t>
  </si>
  <si>
    <t>XNN1 powerhouse</t>
  </si>
  <si>
    <t>POINT Z (106.7184503 15.1528559 0)</t>
  </si>
  <si>
    <t>XS1 dam</t>
  </si>
  <si>
    <t>POINT Z (106.2775498 15.4905118 0)</t>
  </si>
  <si>
    <t>XS1 spillway</t>
  </si>
  <si>
    <t>POINT Z (106.2786641 15.4917479 0)</t>
  </si>
  <si>
    <t>XS1 power intake</t>
  </si>
  <si>
    <t>POINT Z (106.2791165 15.4919067 0)</t>
  </si>
  <si>
    <t>XS1 powerhouse</t>
  </si>
  <si>
    <t>POINT Z (106.2763285 15.5031301 0)</t>
  </si>
  <si>
    <t>XS2 dam</t>
  </si>
  <si>
    <t>POINT Z (106.2810587 15.4023682 0)</t>
  </si>
  <si>
    <t>XS2 spillway</t>
  </si>
  <si>
    <t>POINT Z (106.2803877 15.4037389 0)</t>
  </si>
  <si>
    <t>XS2 diversion dam</t>
  </si>
  <si>
    <t>POINT Z (106.2168313 15.3689259 0)</t>
  </si>
  <si>
    <t>XS2 diversion canal</t>
  </si>
  <si>
    <t>LINESTRING Z (106.2169381 15.3689122 0, 106.2173003 15.3735667 0, 106.2181182 15.3748059 0, 106.2191732 15.3764238 0, 106.2196304 15.3802583 0, 106.2196709 15.3803828 0, 106.2197253 15.3804658 0, 106.2197998 15.3805358 0, 106.2199641 15.3806251 0, 106.2283112 15.3846201 0, 106.2294854 15.3851866 0, 106.2296556 15.3852193 0, 106.2307779 15.3854287 0, 106.2337588 15.3859977 0, 106.238244 15.3868427 0, 106.2410929 15.3882754 0, 106.2462657 15.3908924 0, 106.2481317 15.3918419 0, 106.248263 15.3918792 0, 106.2484539 15.3918771 0, 106.2525711 15.3917065 0, 106.2567425 15.391556 0, 106.2575601 15.3915059 0, 106.2577744 15.391472 0, 106.2580809 15.3914907 0, 106.258302 15.3914367 0, 106.2584464 15.3914572 0, 106.2586504 15.3914368 0, 106.2588419 15.3913993 0, 106.2590506 15.3913987 0, 106.2593377 15.391446 0, 106.2595487 15.3914455 0, 106.2600449 15.3914309 0, 106.263276 15.391293 0, 106.2650897 15.3912289 0, 106.2653261 15.3912174 0, 106.2654321 15.3912263 0, 106.2655765 15.391283 0, 106.2657169 15.3913525 0, 106.2658196 15.3914457 0, 106.2658896 15.3921519 0, 106.2659763 15.3928647 0, 106.2660203 15.3930094 0, 106.2661164 15.3931792 0, 106.2665755 15.3940235 0, 106.2675496 15.3957893 0, 106.267618 15.3958677 0, 106.2676954 15.3959377 0, 106.2677817 15.3959924 0, 106.267954 15.3960538 0, 106.2700513 15.3968643 0, 106.2720869 15.3976598 0, 106.2748389 15.3987134 0, 106.2749149 15.3987355 0, 106.2750356 15.3987159 0, 106.2768813 15.3983105 0, 106.277297 15.3981944 0, 106.2773791 15.3982207 0, 106.2774437 15.3982664 0, 106.2774862 15.3983572 0, 106.2776079 15.3984345 0, 106.2778213 15.3985269 0, 106.2783467 15.3987601 0, 106.2798533 15.3994335 0, 106.2811593 15.4000084 0, 106.2821619 15.4004645 0)</t>
  </si>
  <si>
    <t>XS2 diversion canal spillway</t>
  </si>
  <si>
    <t>POINT Z (106.2770517 15.3984889 0)</t>
  </si>
  <si>
    <t>XS2 diversion canal outlet</t>
  </si>
  <si>
    <t>POINT Z (106.2821736 15.4004665 0)</t>
  </si>
  <si>
    <t>XS2 power intake</t>
  </si>
  <si>
    <t>POINT Z (106.2888697 15.4160708 0)</t>
  </si>
  <si>
    <t>XS2 headrace tunnel</t>
  </si>
  <si>
    <t>LINESTRING Z (106.2888884 15.4161215 0, 106.2889063 15.4161433 0, 106.2904089 15.4767838 0, 106.2894391 15.4783821 0)</t>
  </si>
  <si>
    <t>XS2 surge tank</t>
  </si>
  <si>
    <t>POINT Z (106.2904019 15.4767791 0)</t>
  </si>
  <si>
    <t>XS2 penstock</t>
  </si>
  <si>
    <t>LINESTRING Z (106.2894044 15.4783892 0, 106.2891436 15.4787463 0, 106.2836151 15.4873851 0, 106.2833266 15.4876328 0)</t>
  </si>
  <si>
    <t>XS2 powerhouse</t>
  </si>
  <si>
    <t>POINT Z (106.2831837 15.4877337 0)</t>
  </si>
  <si>
    <t>XS3 dam</t>
  </si>
  <si>
    <t>POINT Z (106.3112407 15.3420455 0)</t>
  </si>
  <si>
    <t>XS3 canal</t>
  </si>
  <si>
    <t>LINESTRING Z (106.3116981 15.3420071 0, 106.3124512 15.3458689 0, 106.3122017 15.3495053 0, 106.3102127 15.3549147 0)</t>
  </si>
  <si>
    <t>XS3 surge tank</t>
  </si>
  <si>
    <t>POINT Z (106.3020309 15.3629458 0)</t>
  </si>
  <si>
    <t>XS3 penstock</t>
  </si>
  <si>
    <t>LINESTRING Z (106.3101928 15.3549442 0, 106.30204 15.3629493 0, 106.3018072 15.3632302 0, 106.2986433 15.3673359 0, 106.297094 15.3693321 0, 106.2964704 15.3700692 0)</t>
  </si>
  <si>
    <t>XS3 powerhouse</t>
  </si>
  <si>
    <t>POINT Z (106.2963433 15.3703213 0)</t>
  </si>
  <si>
    <t>Houay Makchan dam</t>
  </si>
  <si>
    <t>XiPian - XiNamNoy</t>
  </si>
  <si>
    <t>POINT Z (106.5247227 15.0915152 0)</t>
  </si>
  <si>
    <t>XPN dam</t>
  </si>
  <si>
    <t>POINT Z (106.5270796 15.0613819 0)</t>
  </si>
  <si>
    <t>XPN spillway</t>
  </si>
  <si>
    <t>POINT Z (106.5241612 15.0591479 0)</t>
  </si>
  <si>
    <t>XNN main dam</t>
  </si>
  <si>
    <t>POINT Z (106.6004093 15.0287434 0)</t>
  </si>
  <si>
    <t>XNN saddle dam</t>
  </si>
  <si>
    <t>POINT Z (106.5732029 15.0295881 0)</t>
  </si>
  <si>
    <t>POINT Z (106.5659176 15.0161901 0)</t>
  </si>
  <si>
    <t>XNN saddle dam D (destroyed)</t>
  </si>
  <si>
    <t>POINT Z (106.5639004 15.0089275 0)</t>
  </si>
  <si>
    <t>POINT Z (106.562394 14.9912457 0)</t>
  </si>
  <si>
    <t>POINT Z (106.544079 14.9645972 0)</t>
  </si>
  <si>
    <t>XPXN power intake</t>
  </si>
  <si>
    <t>POINT Z (106.6280627 14.9450474 0)</t>
  </si>
  <si>
    <t>XPXN penstock</t>
  </si>
  <si>
    <t>LINESTRING Z (106.6280765 14.945048 0, 106.7218396 14.8574955 0, 106.7284624 14.847758 0, 106.7311377 14.8423866 0, 106.7314496 14.841594 0)</t>
  </si>
  <si>
    <t>XPXN powerhouse</t>
  </si>
  <si>
    <t>POINT Z (106.7314707 14.8414257 0)</t>
  </si>
  <si>
    <t>PyPSA Model Name</t>
  </si>
  <si>
    <t>EDL Name</t>
  </si>
  <si>
    <t>Hongsa (Coal Factory)</t>
  </si>
  <si>
    <t>Huay Lamphun (Bottom Part)</t>
  </si>
  <si>
    <t>Huay Lamphun Gnai (Large)</t>
  </si>
  <si>
    <t>Mekong (Sayaboury)</t>
  </si>
  <si>
    <t>Nam Boun</t>
  </si>
  <si>
    <t>Nam Chein</t>
  </si>
  <si>
    <t>Nam Gab</t>
  </si>
  <si>
    <t>Nam Huai Sea</t>
  </si>
  <si>
    <t>Nam Mong</t>
  </si>
  <si>
    <t>Nam Ngum 1 (Expanded)</t>
  </si>
  <si>
    <t>Nam Ngum Keang Kaun</t>
  </si>
  <si>
    <t>Namtalan</t>
  </si>
  <si>
    <t>Naxaithong 1+2</t>
  </si>
  <si>
    <t>Naxaithong 2</t>
  </si>
  <si>
    <t>Naxaithong 3</t>
  </si>
  <si>
    <t>Nong Heo</t>
  </si>
  <si>
    <t>Oumnamkong 1</t>
  </si>
  <si>
    <t>Oumnamkong 3</t>
  </si>
  <si>
    <t>Pak Ngum 1</t>
  </si>
  <si>
    <t>Pak Ngum 2</t>
  </si>
  <si>
    <t>Paper Factory (Sunpaper)</t>
  </si>
  <si>
    <t>Sikottabong</t>
  </si>
  <si>
    <t>Sugar Factory in Attapeu</t>
  </si>
  <si>
    <t>Sugar Factory in Savannakhet</t>
  </si>
  <si>
    <t>Sungthong 1</t>
  </si>
  <si>
    <t>Xenamnoi 1</t>
  </si>
  <si>
    <t>Xepien-Xenamnoi</t>
  </si>
  <si>
    <t>EDL_Gen-Loadshedding Central</t>
  </si>
  <si>
    <t>EDL_Gen-Loadshedding Northern</t>
  </si>
  <si>
    <t>EDL_Gen-Loadshedding Southern</t>
  </si>
  <si>
    <t>GenInt-Cambodia Generators</t>
  </si>
  <si>
    <t>GenInt-China Generators</t>
  </si>
  <si>
    <t>GenInt-Myanmar Generators</t>
  </si>
  <si>
    <t>GenInt-Thailand Generators</t>
  </si>
  <si>
    <t>GenInt-Vietnam Generators</t>
  </si>
  <si>
    <t>RvrIn-Donsahong</t>
  </si>
  <si>
    <t>RvrIn-Houay Ho</t>
  </si>
  <si>
    <t>RvrIn-Houay Por</t>
  </si>
  <si>
    <t>RvrIn-Houaylamphan Gnai</t>
  </si>
  <si>
    <t>RvrIn-Nam Chiane</t>
  </si>
  <si>
    <t>RvrIn-Nam Hinboun</t>
  </si>
  <si>
    <t>RvrIn-Nam Kap</t>
  </si>
  <si>
    <t>RvrIn-Nam Kong 1</t>
  </si>
  <si>
    <t>RvrIn-Nam Kong 2</t>
  </si>
  <si>
    <t>RvrIn-Nam Kong 3</t>
  </si>
  <si>
    <t>RvrIn-Nam Leuk</t>
  </si>
  <si>
    <t>RvrIn-Nam Lik</t>
  </si>
  <si>
    <t>RvrIn-Nam Mang 1</t>
  </si>
  <si>
    <t>RvrIn-Nam Mang 3</t>
  </si>
  <si>
    <t>RvrIn-Nam Ngiep</t>
  </si>
  <si>
    <t>RvrIn-Nam Ngiep 2C</t>
  </si>
  <si>
    <t>RvrIn-Nam Ngum</t>
  </si>
  <si>
    <t>RvrIn-Nam Peun</t>
  </si>
  <si>
    <t>RvrIn-Nam Phao</t>
  </si>
  <si>
    <t>RvrIn-Nam Pot</t>
  </si>
  <si>
    <t>RvrIn-Nam San</t>
  </si>
  <si>
    <t>RvrIn-Nam Sana</t>
  </si>
  <si>
    <t>RvrIn-Nam Sen</t>
  </si>
  <si>
    <t>RvrIn-Nam So</t>
  </si>
  <si>
    <t>RvrIn-Nam Song</t>
  </si>
  <si>
    <t>RvrIn-Nam Sor</t>
  </si>
  <si>
    <t>RvrIn-Nam Thea</t>
  </si>
  <si>
    <t>RvrIn-Nam Theun</t>
  </si>
  <si>
    <t>RvrIn-Nam Ting</t>
  </si>
  <si>
    <t>RvrIn-Namkading River</t>
  </si>
  <si>
    <t>RvrIn-Selabam</t>
  </si>
  <si>
    <t>RvrIn-Vang Ngao</t>
  </si>
  <si>
    <t>RvrIn-Xe Kaman 1</t>
  </si>
  <si>
    <t>RvrIn-Xe Kaman 3</t>
  </si>
  <si>
    <t>RvrIn-Xe Katam</t>
  </si>
  <si>
    <t>RvrIn-Xe Lanong</t>
  </si>
  <si>
    <t>RvrIn-Xe Namnoy 6</t>
  </si>
  <si>
    <t>RvrIn-Xe Pian</t>
  </si>
  <si>
    <t>RvrIn-Xe Set 1</t>
  </si>
  <si>
    <t>RvrIn-Xe Set 2</t>
  </si>
  <si>
    <t>RvrIn-Xe Set 3</t>
  </si>
  <si>
    <t>RvrOut-Donsahong</t>
  </si>
  <si>
    <t>RvrOut-Houaylamphan Gnai</t>
  </si>
  <si>
    <t>RvrOut-Nam Kong Discharge</t>
  </si>
  <si>
    <t>RvrOut-Nam Leuk</t>
  </si>
  <si>
    <t>RvrOut-Nam Mang 1</t>
  </si>
  <si>
    <t>RvrOut-Nam Mang 3</t>
  </si>
  <si>
    <t>RvrOut-Nam Ngiep</t>
  </si>
  <si>
    <t>RvrOut-Nam Ngum</t>
  </si>
  <si>
    <t>RvrOut-Nam Peun</t>
  </si>
  <si>
    <t>RvrOut-Nam San</t>
  </si>
  <si>
    <t>RvrOut-Nam Thea</t>
  </si>
  <si>
    <t>RvrOut-Nam Theun</t>
  </si>
  <si>
    <t>RvrOut-Nam Theun 2</t>
  </si>
  <si>
    <t>RvrOut-Selabam</t>
  </si>
  <si>
    <t>RvrOut-Theun Hinboun</t>
  </si>
  <si>
    <t>RvrOut-Vang Ngao</t>
  </si>
  <si>
    <t>RvrOut-Xe Kaman</t>
  </si>
  <si>
    <t>RvrOut-Xe Lanong</t>
  </si>
  <si>
    <t>RvrOut-Xe Namnoy 6</t>
  </si>
  <si>
    <t>RvrOut-Xe Pian</t>
  </si>
  <si>
    <t>RvrOut-Xe Set</t>
  </si>
  <si>
    <t>name</t>
  </si>
  <si>
    <t xml:space="preserve">EDL Data </t>
  </si>
  <si>
    <t>RvrIn-Nam Ngiep 2</t>
  </si>
  <si>
    <t>RvrIn-Nam Ngiep 2B</t>
  </si>
  <si>
    <t>RvrIn-Nam Aow</t>
  </si>
  <si>
    <t>RvrIn-Nam Ngum 1</t>
  </si>
  <si>
    <t>RvrIn-Nam Lik 1</t>
  </si>
  <si>
    <t>RvrIn-Nam Lik 2</t>
  </si>
  <si>
    <t>RvrIn-Nam Khan</t>
  </si>
  <si>
    <t>RvrIn-Nam Khan 3</t>
  </si>
  <si>
    <t>RvrIn-Nam Ou 1</t>
  </si>
  <si>
    <t>RvrIn-Nam Ou 2</t>
  </si>
  <si>
    <t>RvrIn-Nam Ou 3</t>
  </si>
  <si>
    <t>RvrIn-Nam Ou 4</t>
  </si>
  <si>
    <t>RvrIn-Nam Ou 5</t>
  </si>
  <si>
    <t>RvrIn-Nam Ou 6</t>
  </si>
  <si>
    <t>RvrIn-Nam Ou 7</t>
  </si>
  <si>
    <t>RvrIn-Nam Beng</t>
  </si>
  <si>
    <t>RvrIn-Nam Tha</t>
  </si>
  <si>
    <t>RvrIn-Nam Talan</t>
  </si>
  <si>
    <t>RvrIn-Nam Gnuang</t>
  </si>
  <si>
    <t>idx</t>
  </si>
  <si>
    <t>type</t>
  </si>
  <si>
    <t>geometry</t>
  </si>
  <si>
    <t>POINT Z (105.955975 13.9437805555555)</t>
  </si>
  <si>
    <t>POINT Z (101.279719444444 19.6907027777777)</t>
  </si>
  <si>
    <t>POINT Z (106.586427777777 15.3564555555555)</t>
  </si>
  <si>
    <t>POINT Z (106.630675 15.3196611111111)</t>
  </si>
  <si>
    <t>POINT Z (106.222955555555 15.5757777777777)</t>
  </si>
  <si>
    <t>POINT Z (106.829275 15.0786777777777)</t>
  </si>
  <si>
    <t>POINT Z (104.901044444444 16.8724638888888)</t>
  </si>
  <si>
    <t>POINT Z (103.289452777777 19.137175)</t>
  </si>
  <si>
    <t>POINT Z (101.240583333333 19.9458055555555)</t>
  </si>
  <si>
    <t>POINT Z (103.5049 19.048075)</t>
  </si>
  <si>
    <t>POINT Z (103.521394444444 19.065825)</t>
  </si>
  <si>
    <t>POINT Z (102.367891666666 19.684125)</t>
  </si>
  <si>
    <t>POINT Z (102.221613888888 19.7483805555555)</t>
  </si>
  <si>
    <t>POINT Z (106.736030555555 14.5742777777777)</t>
  </si>
  <si>
    <t>POINT Z (106.821255555555 14.4977583333333)</t>
  </si>
  <si>
    <t>POINT Z (106.911893756675 14.56702609102)</t>
  </si>
  <si>
    <t>POINT Z (102.938761111111 18.5351638888888)</t>
  </si>
  <si>
    <t>POINT Z (102.387091666666 18.6187666666666)</t>
  </si>
  <si>
    <t>POINT Z (102.117216666666 18.7934305555555)</t>
  </si>
  <si>
    <t>POINT Z (100.897608333333 20.9255)</t>
  </si>
  <si>
    <t>POINT Z (103.173208333333 18.4432305555555)</t>
  </si>
  <si>
    <t>POINT Z (102.735830555555 18.331575)</t>
  </si>
  <si>
    <t>POINT Z (101.922672222222 20.1818472222222)</t>
  </si>
  <si>
    <t>POINT Z (103.524455555555 18.6460444444444)</t>
  </si>
  <si>
    <t>POINT Z (103.309844444444 19.1376583333333)</t>
  </si>
  <si>
    <t>POINT Z (103.34485 19.1534833333333)</t>
  </si>
  <si>
    <t>POINT Z (103.348225 19.1577722222222)</t>
  </si>
  <si>
    <t>POINT Z (103.355588888888 19.1872888888888)</t>
  </si>
  <si>
    <t>POINT Z (103.342019444444 19.2892722222222)</t>
  </si>
  <si>
    <t>POINT Z (102.547341666666 18.5301305555555)</t>
  </si>
  <si>
    <t>POINT Z (102.775866666666 18.7500888888888)</t>
  </si>
  <si>
    <t>POINT Z (102.824183333333 18.9963861111111)</t>
  </si>
  <si>
    <t>POINT Z (102.848833333333 19.4215166666666)</t>
  </si>
  <si>
    <t>POINT Z (102.710083333333 19.3602888888888)</t>
  </si>
  <si>
    <t>POINT Z (100.376216666666 20.431525)</t>
  </si>
  <si>
    <t>POINT Z (102.316238888888 20.1489)</t>
  </si>
  <si>
    <t>POINT Z (102.449430555555 20.3887166666666)</t>
  </si>
  <si>
    <t>POINT Z (102.666163888888 20.8201805555555)</t>
  </si>
  <si>
    <t>POINT Z (102.499152777777 21.1055722222222)</t>
  </si>
  <si>
    <t>POINT Z (102.345230555555 21.4106083333333)</t>
  </si>
  <si>
    <t>POINT Z (102.196130555555 21.770225)</t>
  </si>
  <si>
    <t>POINT Z (102.263777777777 22.0789694444444)</t>
  </si>
  <si>
    <t>POINT Z (103.893086111111 19.9795666666666)</t>
  </si>
  <si>
    <t>POINT Z (103.983283333333 20.0376638888888)</t>
  </si>
  <si>
    <t>POINT Z (102.83368366661 18.9937699470988)</t>
  </si>
  <si>
    <t>POINT Z (105.134869444444 18.3624666666666)</t>
  </si>
  <si>
    <t>POINT Z (102.744025 19.0334277777777)</t>
  </si>
  <si>
    <t>POINT Z (103.627986111111 19.0877972222222)</t>
  </si>
  <si>
    <t>POINT Z (103.599494444444 19.0164083333333)</t>
  </si>
  <si>
    <t>POINT Z (102.310863888888 19.2044666666666)</t>
  </si>
  <si>
    <t>POINT Z (103.188405555555 19.2817194444444)</t>
  </si>
  <si>
    <t>POINT Z (102.457552777777 18.8037388888888)</t>
  </si>
  <si>
    <t>POINT Z (100.899319444444 20.2472222222222)</t>
  </si>
  <si>
    <t>POINT Z (100.869941666666 20.26675)</t>
  </si>
  <si>
    <t>POINT Z (103.5769 19.5955472222222)</t>
  </si>
  <si>
    <t>POINT Z (104.147616666666 18.3513222222222)</t>
  </si>
  <si>
    <t>POINT Z (105.152947222222 17.6807638888888)</t>
  </si>
  <si>
    <t>POINT Z (104.571327777777 17.7282361111111)</t>
  </si>
  <si>
    <t>POINT Z (104.424202777777 18.024875)</t>
  </si>
  <si>
    <t>POINT Z (101.819494444444 19.2450611111111)</t>
  </si>
  <si>
    <t>POINT Z (105.832919444444 15.3542611111111)</t>
  </si>
  <si>
    <t>POINT Z (106.075661111111 15.2026277777777)</t>
  </si>
  <si>
    <t>POINT Z (106.485425 16.7393194444444)</t>
  </si>
  <si>
    <t>POINT Z (104.538694444444 18.2099666666666)</t>
  </si>
  <si>
    <t>POINT Z (106.718422222222 15.1528861111111)</t>
  </si>
  <si>
    <t>POINT Z (107.151483926958 14.9593939123345)</t>
  </si>
  <si>
    <t>POINT Z (107.406261111111 15.3742694444444)</t>
  </si>
  <si>
    <t>POINT Z (107.11665 14.8895)</t>
  </si>
  <si>
    <t>POINT Z (106.238286111111 16.3564472222222)</t>
  </si>
  <si>
    <t>POINT Z (106.644422222222 15.1368416666666)</t>
  </si>
  <si>
    <t>POINT Z (106.279153163875 15.4919693318384)</t>
  </si>
  <si>
    <t>POINT Z (106.283216671298 15.487669892123)</t>
  </si>
  <si>
    <t>POINT Z (106.296318504136 15.3703520833273)</t>
  </si>
  <si>
    <t>POINT Z (106.641275 15.1222527777777)</t>
  </si>
  <si>
    <t>POINT Z (106.731475 14.8414055555555)</t>
  </si>
  <si>
    <t>Don Sahong</t>
  </si>
  <si>
    <t>source_file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</si>
</sst>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00000"/>
    <numFmt numFmtId="165" formatCode="0.000000"/>
    <numFmt numFmtId="166" formatCode="0.000"/>
  </numFmts>
  <fonts count="33">
    <font>
      <sz val="11.0"/>
      <color theme="1"/>
      <name val="Calibri"/>
      <scheme val="minor"/>
    </font>
    <font>
      <b/>
      <sz val="11.0"/>
      <color rgb="FF000000"/>
      <name val="Calibri"/>
    </font>
    <font>
      <b/>
      <sz val="11.0"/>
      <color theme="1"/>
      <name val="Calibri"/>
    </font>
    <font>
      <color theme="1"/>
      <name val="Calibri"/>
      <scheme val="minor"/>
    </font>
    <font>
      <sz val="11.0"/>
      <color rgb="FF000000"/>
      <name val="Calibri"/>
    </font>
    <font>
      <sz val="11.0"/>
      <color theme="1"/>
      <name val="Calibri"/>
    </font>
    <font>
      <u/>
      <color rgb="FF0563C1"/>
    </font>
    <font>
      <u/>
      <color rgb="FF0000FF"/>
    </font>
    <font>
      <u/>
      <color rgb="FF0000FF"/>
    </font>
    <font>
      <u/>
      <color rgb="FF0000FF"/>
    </font>
    <font>
      <sz val="12.0"/>
      <color rgb="FF993333"/>
      <name val="Times New Roman"/>
    </font>
    <font>
      <color rgb="FF993333"/>
      <name val="Times New Roman"/>
    </font>
    <font>
      <sz val="11.0"/>
      <color rgb="FF000000"/>
      <name val="Times New Roman"/>
    </font>
    <font>
      <u/>
      <sz val="11.0"/>
      <color rgb="FF0563C1"/>
      <name val="Calibri"/>
    </font>
    <font>
      <u/>
      <color rgb="FF000000"/>
    </font>
    <font>
      <u/>
      <sz val="11.0"/>
      <color rgb="FF000000"/>
      <name val="Calibri"/>
    </font>
    <font>
      <color rgb="FF000000"/>
      <name val="Calibri"/>
      <scheme val="minor"/>
    </font>
    <font>
      <u/>
      <sz val="11.0"/>
      <color rgb="FF0563C1"/>
      <name val="Calibri"/>
    </font>
    <font>
      <sz val="12.0"/>
      <color rgb="FFE2EFD9"/>
      <name val="Times New Roman"/>
    </font>
    <font>
      <sz val="9.0"/>
      <color theme="1"/>
      <name val="Arial"/>
    </font>
    <font>
      <sz val="11.0"/>
      <color rgb="FF993333"/>
      <name val="Times New Roman"/>
    </font>
    <font>
      <sz val="12.0"/>
      <color rgb="FF993333"/>
      <name val="&quot;Times New Roman&quot;"/>
    </font>
    <font>
      <u/>
      <color rgb="FF0000FF"/>
    </font>
    <font>
      <u/>
      <sz val="11.0"/>
      <color theme="10"/>
      <name val="Calibri"/>
    </font>
    <font>
      <u/>
      <sz val="11.0"/>
      <color theme="10"/>
      <name val="Calibri"/>
    </font>
    <font>
      <sz val="11.0"/>
      <color rgb="FFFF0000"/>
      <name val="Calibri"/>
    </font>
    <font>
      <u/>
      <sz val="11.0"/>
      <color rgb="FF0563C1"/>
      <name val="Calibri"/>
    </font>
    <font>
      <sz val="11.0"/>
      <color rgb="FF1F1F1F"/>
      <name val="Calibri"/>
    </font>
    <font>
      <sz val="12.0"/>
      <color rgb="FF996633"/>
      <name val="&quot;Times New Roman&quot;"/>
    </font>
    <font>
      <sz val="12.0"/>
      <color rgb="FF000000"/>
      <name val="&quot;Times New Roman&quot;"/>
    </font>
    <font>
      <color rgb="FFFF0000"/>
      <name val="Calibri"/>
      <scheme val="minor"/>
    </font>
    <font>
      <strike/>
      <sz val="11.0"/>
      <color theme="1"/>
      <name val="Calibri"/>
    </font>
    <font>
      <sz val="11.0"/>
      <color rgb="FF0000FF"/>
      <name val="Calibri"/>
    </font>
  </fonts>
  <fills count="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2EFD9"/>
        <bgColor rgb="FFE2EFD9"/>
      </patternFill>
    </fill>
    <fill>
      <patternFill patternType="solid">
        <fgColor theme="0"/>
        <bgColor theme="0"/>
      </patternFill>
    </fill>
    <fill>
      <patternFill patternType="solid">
        <fgColor rgb="FFD9EAD3"/>
        <bgColor rgb="FFD9EAD3"/>
      </patternFill>
    </fill>
    <fill>
      <patternFill patternType="solid">
        <fgColor rgb="FFD9E8F5"/>
        <bgColor rgb="FFD9E8F5"/>
      </patternFill>
    </fill>
    <fill>
      <patternFill patternType="solid">
        <fgColor rgb="FFEBF4FB"/>
        <bgColor rgb="FFEBF4FB"/>
      </patternFill>
    </fill>
  </fills>
  <borders count="10">
    <border/>
    <border>
      <right style="thin">
        <color rgb="FF000000"/>
      </right>
    </border>
    <border>
      <left style="thin">
        <color rgb="FF000000"/>
      </left>
      <right style="thin">
        <color rgb="FF000000"/>
      </right>
    </border>
    <border>
      <left style="thin">
        <color rgb="FF000000"/>
      </left>
    </border>
    <border>
      <left style="thin">
        <color rgb="FF9A9A9A"/>
      </left>
      <right style="thin">
        <color rgb="FF9A9A9A"/>
      </right>
      <top style="thin">
        <color rgb="FF9A9A9A"/>
      </top>
      <bottom style="thin">
        <color rgb="FF9A9A9A"/>
      </bottom>
    </border>
    <border>
      <left style="thin">
        <color rgb="FFB0C4DE"/>
      </left>
      <right style="thin">
        <color rgb="FFB0C4DE"/>
      </right>
      <top style="thin">
        <color rgb="FFB0C4DE"/>
      </top>
      <bottom style="thin">
        <color rgb="FFB0C4DE"/>
      </bottom>
    </border>
    <border>
      <left style="thin">
        <color rgb="FFB0C4DE"/>
      </left>
      <right style="thin">
        <color rgb="FFB0C4DE"/>
      </right>
      <bottom style="thin">
        <color rgb="FFB0C4DE"/>
      </bottom>
    </border>
    <border>
      <left style="thin">
        <color rgb="FFAABCCE"/>
      </left>
      <right style="thin">
        <color rgb="FFAABCCE"/>
      </right>
      <top style="thin">
        <color rgb="FFAABCCE"/>
      </top>
      <bottom style="thin">
        <color rgb="FFAABCCE"/>
      </bottom>
    </border>
    <border>
      <left style="thin">
        <color rgb="FFAABCCE"/>
      </left>
      <right style="thin">
        <color rgb="FFAABCCE"/>
      </right>
      <bottom style="thin">
        <color rgb="FFAABCCE"/>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2" fillId="0" fontId="2" numFmtId="1" xfId="0" applyAlignment="1" applyBorder="1" applyFont="1" applyNumberFormat="1">
      <alignment horizontal="center"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xf>
    <xf borderId="0" fillId="4" fontId="4" numFmtId="0" xfId="0" applyAlignment="1" applyFill="1" applyFont="1">
      <alignment horizontal="left" readingOrder="0" shrinkToFit="0" wrapText="0"/>
    </xf>
    <xf borderId="0" fillId="0" fontId="5" numFmtId="0" xfId="0" applyAlignment="1" applyFont="1">
      <alignment readingOrder="0" vertical="center"/>
    </xf>
    <xf borderId="0" fillId="0" fontId="5" numFmtId="2" xfId="0" applyAlignment="1" applyFont="1" applyNumberFormat="1">
      <alignment readingOrder="0" vertical="center"/>
    </xf>
    <xf borderId="0" fillId="0" fontId="5" numFmtId="164" xfId="0" applyAlignment="1" applyFont="1" applyNumberFormat="1">
      <alignment vertical="center"/>
    </xf>
    <xf borderId="0" fillId="0" fontId="5" numFmtId="2" xfId="0" applyAlignment="1" applyFont="1" applyNumberFormat="1">
      <alignment vertical="center"/>
    </xf>
    <xf borderId="0" fillId="0" fontId="3" numFmtId="2" xfId="0" applyAlignment="1" applyFont="1" applyNumberFormat="1">
      <alignment readingOrder="0"/>
    </xf>
    <xf borderId="0" fillId="0" fontId="4" numFmtId="165" xfId="0" applyAlignment="1" applyFont="1" applyNumberFormat="1">
      <alignment readingOrder="0"/>
    </xf>
    <xf borderId="0" fillId="3" fontId="5" numFmtId="0" xfId="0" applyAlignment="1" applyFont="1">
      <alignment vertical="center"/>
    </xf>
    <xf borderId="0" fillId="0" fontId="3" numFmtId="0" xfId="0" applyAlignment="1" applyFont="1">
      <alignment readingOrder="0"/>
    </xf>
    <xf borderId="0" fillId="3" fontId="5" numFmtId="2" xfId="0" applyAlignment="1" applyFont="1" applyNumberFormat="1">
      <alignment vertical="center"/>
    </xf>
    <xf borderId="0" fillId="0" fontId="5" numFmtId="1" xfId="0" applyAlignment="1" applyFont="1" applyNumberFormat="1">
      <alignment readingOrder="0" vertical="center"/>
    </xf>
    <xf borderId="0" fillId="0" fontId="5" numFmtId="0" xfId="0" applyAlignment="1" applyFont="1">
      <alignment vertical="center"/>
    </xf>
    <xf borderId="0" fillId="0" fontId="3" numFmtId="0" xfId="0" applyAlignment="1" applyFont="1">
      <alignment readingOrder="0"/>
    </xf>
    <xf borderId="0" fillId="0" fontId="6" numFmtId="0" xfId="0" applyAlignment="1" applyFont="1">
      <alignment readingOrder="0"/>
    </xf>
    <xf borderId="0" fillId="0" fontId="3" numFmtId="0" xfId="0" applyFont="1"/>
    <xf borderId="0" fillId="2" fontId="4" numFmtId="0" xfId="0" applyAlignment="1" applyFont="1">
      <alignment horizontal="left" readingOrder="0" shrinkToFit="0" wrapText="0"/>
    </xf>
    <xf borderId="0" fillId="0" fontId="7" numFmtId="0" xfId="0" applyAlignment="1" applyFont="1">
      <alignment readingOrder="0"/>
    </xf>
    <xf borderId="0" fillId="0" fontId="4" numFmtId="165" xfId="0" applyAlignment="1" applyFont="1" applyNumberFormat="1">
      <alignment vertical="center"/>
    </xf>
    <xf borderId="0" fillId="0" fontId="3" numFmtId="0" xfId="0" applyAlignment="1" applyFont="1">
      <alignment readingOrder="0"/>
    </xf>
    <xf borderId="0" fillId="0" fontId="8" numFmtId="0" xfId="0" applyAlignment="1" applyFont="1">
      <alignment readingOrder="0"/>
    </xf>
    <xf borderId="0" fillId="0" fontId="3" numFmtId="0" xfId="0" applyAlignment="1" applyFont="1">
      <alignment readingOrder="0"/>
    </xf>
    <xf borderId="0" fillId="0" fontId="4" numFmtId="165" xfId="0" applyAlignment="1" applyFont="1" applyNumberFormat="1">
      <alignment readingOrder="0" vertical="center"/>
    </xf>
    <xf borderId="0" fillId="0" fontId="5" numFmtId="166" xfId="0" applyAlignment="1" applyFont="1" applyNumberFormat="1">
      <alignment readingOrder="0" vertical="center"/>
    </xf>
    <xf borderId="0" fillId="0" fontId="9" numFmtId="0" xfId="0" applyAlignment="1" applyFont="1">
      <alignment readingOrder="0"/>
    </xf>
    <xf borderId="0" fillId="0" fontId="4" numFmtId="2" xfId="0" applyAlignment="1" applyFont="1" applyNumberFormat="1">
      <alignment readingOrder="0"/>
    </xf>
    <xf borderId="0" fillId="0" fontId="4" numFmtId="0" xfId="0" applyAlignment="1" applyFont="1">
      <alignment readingOrder="0"/>
    </xf>
    <xf borderId="0" fillId="4" fontId="4" numFmtId="165" xfId="0" applyAlignment="1" applyFont="1" applyNumberFormat="1">
      <alignment readingOrder="0"/>
    </xf>
    <xf borderId="0" fillId="2" fontId="4" numFmtId="2" xfId="0" applyAlignment="1" applyFont="1" applyNumberFormat="1">
      <alignment horizontal="right" readingOrder="0" shrinkToFit="0" wrapText="0"/>
    </xf>
    <xf borderId="0" fillId="5" fontId="4" numFmtId="2" xfId="0" applyAlignment="1" applyFill="1" applyFont="1" applyNumberFormat="1">
      <alignment horizontal="right" readingOrder="0" shrinkToFit="0" wrapText="0"/>
    </xf>
    <xf borderId="4" fillId="0" fontId="10" numFmtId="49" xfId="0" applyAlignment="1" applyBorder="1" applyFont="1" applyNumberFormat="1">
      <alignment horizontal="right" readingOrder="0" vertical="top"/>
    </xf>
    <xf borderId="5" fillId="5" fontId="10" numFmtId="49" xfId="0" applyAlignment="1" applyBorder="1" applyFont="1" applyNumberFormat="1">
      <alignment horizontal="right" readingOrder="0"/>
    </xf>
    <xf borderId="4" fillId="0" fontId="11" numFmtId="49" xfId="0" applyAlignment="1" applyBorder="1" applyFont="1" applyNumberFormat="1">
      <alignment horizontal="right" readingOrder="0" vertical="top"/>
    </xf>
    <xf borderId="0" fillId="5" fontId="12" numFmtId="0" xfId="0" applyAlignment="1" applyFont="1">
      <alignment horizontal="left" readingOrder="0" shrinkToFit="0" wrapText="0"/>
    </xf>
    <xf borderId="0" fillId="2" fontId="4" numFmtId="0" xfId="0" applyAlignment="1" applyFont="1">
      <alignment horizontal="right" readingOrder="0" shrinkToFit="0" wrapText="0"/>
    </xf>
    <xf borderId="0" fillId="2" fontId="4" numFmtId="0" xfId="0" applyAlignment="1" applyFont="1">
      <alignment horizontal="left" readingOrder="0" shrinkToFit="0" wrapText="0"/>
    </xf>
    <xf borderId="0" fillId="2" fontId="4" numFmtId="1" xfId="0" applyAlignment="1" applyFont="1" applyNumberFormat="1">
      <alignment horizontal="right" readingOrder="0" shrinkToFit="0" wrapText="0"/>
    </xf>
    <xf borderId="0" fillId="5" fontId="13" numFmtId="0" xfId="0" applyAlignment="1" applyFont="1">
      <alignment horizontal="left" readingOrder="0" shrinkToFit="0" wrapText="0"/>
    </xf>
    <xf borderId="4" fillId="0" fontId="14" numFmtId="0" xfId="0" applyAlignment="1" applyBorder="1" applyFont="1">
      <alignment readingOrder="0" vertical="top"/>
    </xf>
    <xf borderId="0" fillId="4" fontId="4" numFmtId="2" xfId="0" applyAlignment="1" applyFont="1" applyNumberFormat="1">
      <alignment horizontal="right" readingOrder="0" shrinkToFit="0" wrapText="0"/>
    </xf>
    <xf borderId="0" fillId="4" fontId="4" numFmtId="2" xfId="0" applyAlignment="1" applyFont="1" applyNumberFormat="1">
      <alignment shrinkToFit="0" wrapText="0"/>
    </xf>
    <xf borderId="6" fillId="4" fontId="10" numFmtId="49" xfId="0" applyAlignment="1" applyBorder="1" applyFont="1" applyNumberFormat="1">
      <alignment horizontal="right" readingOrder="0"/>
    </xf>
    <xf borderId="0" fillId="4" fontId="12" numFmtId="0" xfId="0" applyAlignment="1" applyFont="1">
      <alignment horizontal="left" readingOrder="0" shrinkToFit="0" wrapText="0"/>
    </xf>
    <xf borderId="0" fillId="4" fontId="4" numFmtId="0" xfId="0" applyAlignment="1" applyFont="1">
      <alignment horizontal="right" readingOrder="0" shrinkToFit="0" wrapText="0"/>
    </xf>
    <xf borderId="0" fillId="4" fontId="4" numFmtId="0" xfId="0" applyAlignment="1" applyFont="1">
      <alignment horizontal="left" readingOrder="0" shrinkToFit="0" wrapText="0"/>
    </xf>
    <xf borderId="0" fillId="4" fontId="4" numFmtId="1" xfId="0" applyAlignment="1" applyFont="1" applyNumberFormat="1">
      <alignment horizontal="right" readingOrder="0" shrinkToFit="0" wrapText="0"/>
    </xf>
    <xf borderId="0" fillId="4" fontId="15" numFmtId="0" xfId="0" applyAlignment="1" applyFont="1">
      <alignment horizontal="left" readingOrder="0" shrinkToFit="0" vertical="bottom" wrapText="0"/>
    </xf>
    <xf borderId="0" fillId="2" fontId="4" numFmtId="2" xfId="0" applyAlignment="1" applyFont="1" applyNumberFormat="1">
      <alignment shrinkToFit="0" wrapText="0"/>
    </xf>
    <xf borderId="6" fillId="5" fontId="10" numFmtId="49" xfId="0" applyAlignment="1" applyBorder="1" applyFont="1" applyNumberFormat="1">
      <alignment horizontal="right" readingOrder="0"/>
    </xf>
    <xf borderId="0" fillId="2" fontId="4" numFmtId="1" xfId="0" applyAlignment="1" applyFont="1" applyNumberFormat="1">
      <alignment shrinkToFit="0" wrapText="0"/>
    </xf>
    <xf borderId="4" fillId="0" fontId="16" numFmtId="0" xfId="0" applyAlignment="1" applyBorder="1" applyFont="1">
      <alignment vertical="top"/>
    </xf>
    <xf borderId="0" fillId="4" fontId="17" numFmtId="0" xfId="0" applyAlignment="1" applyFont="1">
      <alignment horizontal="left" readingOrder="0" shrinkToFit="0" wrapText="0"/>
    </xf>
    <xf borderId="0" fillId="5" fontId="4" numFmtId="2" xfId="0" applyAlignment="1" applyFont="1" applyNumberFormat="1">
      <alignment shrinkToFit="0" wrapText="0"/>
    </xf>
    <xf borderId="6" fillId="4" fontId="18" numFmtId="49" xfId="0" applyAlignment="1" applyBorder="1" applyFont="1" applyNumberFormat="1">
      <alignment horizontal="right" readingOrder="0"/>
    </xf>
    <xf borderId="0" fillId="4" fontId="12" numFmtId="0" xfId="0" applyAlignment="1" applyFont="1">
      <alignment shrinkToFit="0" wrapText="0"/>
    </xf>
    <xf borderId="0" fillId="4" fontId="4" numFmtId="0" xfId="0" applyAlignment="1" applyFont="1">
      <alignment shrinkToFit="0" wrapText="0"/>
    </xf>
    <xf borderId="0" fillId="4" fontId="4" numFmtId="1" xfId="0" applyAlignment="1" applyFont="1" applyNumberFormat="1">
      <alignment shrinkToFit="0" wrapText="0"/>
    </xf>
    <xf borderId="4" fillId="0" fontId="10" numFmtId="49" xfId="0" applyAlignment="1" applyBorder="1" applyFont="1" applyNumberFormat="1">
      <alignment horizontal="right" vertical="top"/>
    </xf>
    <xf borderId="6" fillId="5" fontId="10" numFmtId="49" xfId="0" applyAlignment="1" applyBorder="1" applyFont="1" applyNumberFormat="1">
      <alignment horizontal="right"/>
    </xf>
    <xf borderId="4" fillId="0" fontId="11" numFmtId="49" xfId="0" applyAlignment="1" applyBorder="1" applyFont="1" applyNumberFormat="1">
      <alignment horizontal="right" vertical="top"/>
    </xf>
    <xf borderId="0" fillId="5" fontId="12" numFmtId="0" xfId="0" applyAlignment="1" applyFont="1">
      <alignment shrinkToFit="0" wrapText="0"/>
    </xf>
    <xf borderId="0" fillId="2" fontId="4" numFmtId="0" xfId="0" applyAlignment="1" applyFont="1">
      <alignment shrinkToFit="0" wrapText="0"/>
    </xf>
    <xf borderId="0" fillId="2" fontId="4" numFmtId="0" xfId="0" applyAlignment="1" applyFont="1">
      <alignment readingOrder="0" shrinkToFit="0" wrapText="0"/>
    </xf>
    <xf borderId="0" fillId="5" fontId="4" numFmtId="0" xfId="0" applyAlignment="1" applyFont="1">
      <alignment shrinkToFit="0" vertical="bottom" wrapText="0"/>
    </xf>
    <xf borderId="0" fillId="6" fontId="4" numFmtId="2" xfId="0" applyAlignment="1" applyFill="1" applyFont="1" applyNumberFormat="1">
      <alignment horizontal="right" readingOrder="0" shrinkToFit="0" wrapText="0"/>
    </xf>
    <xf borderId="0" fillId="4" fontId="5" numFmtId="2" xfId="0" applyAlignment="1" applyFont="1" applyNumberFormat="1">
      <alignment vertical="center"/>
    </xf>
    <xf borderId="7" fillId="4" fontId="19" numFmtId="2" xfId="0" applyAlignment="1" applyBorder="1" applyFont="1" applyNumberFormat="1">
      <alignment horizontal="right" readingOrder="0"/>
    </xf>
    <xf borderId="8" fillId="7" fontId="19" numFmtId="2" xfId="0" applyAlignment="1" applyBorder="1" applyFill="1" applyFont="1" applyNumberFormat="1">
      <alignment horizontal="right" readingOrder="0"/>
    </xf>
    <xf borderId="8" fillId="8" fontId="19" numFmtId="2" xfId="0" applyAlignment="1" applyBorder="1" applyFill="1" applyFont="1" applyNumberFormat="1">
      <alignment horizontal="right" readingOrder="0"/>
    </xf>
    <xf borderId="4" fillId="0" fontId="11" numFmtId="2" xfId="0" applyAlignment="1" applyBorder="1" applyFont="1" applyNumberFormat="1">
      <alignment horizontal="right" readingOrder="0" vertical="top"/>
    </xf>
    <xf borderId="0" fillId="5" fontId="20" numFmtId="165" xfId="0" applyAlignment="1" applyFont="1" applyNumberFormat="1">
      <alignment horizontal="right" readingOrder="0" shrinkToFit="0" wrapText="0"/>
    </xf>
    <xf borderId="0" fillId="2" fontId="10" numFmtId="49" xfId="0" applyAlignment="1" applyFont="1" applyNumberFormat="1">
      <alignment horizontal="right" readingOrder="0" shrinkToFit="0" wrapText="0"/>
    </xf>
    <xf borderId="0" fillId="0" fontId="10" numFmtId="165" xfId="0" applyAlignment="1" applyFont="1" applyNumberFormat="1">
      <alignment horizontal="right"/>
    </xf>
    <xf borderId="0" fillId="0" fontId="11" numFmtId="165" xfId="0" applyAlignment="1" applyFont="1" applyNumberFormat="1">
      <alignment horizontal="right"/>
    </xf>
    <xf borderId="0" fillId="3" fontId="5" numFmtId="0" xfId="0" applyAlignment="1" applyFont="1">
      <alignment readingOrder="0" vertical="center"/>
    </xf>
    <xf borderId="0" fillId="0" fontId="21" numFmtId="0" xfId="0" applyAlignment="1" applyFont="1">
      <alignment readingOrder="0"/>
    </xf>
    <xf borderId="0" fillId="0" fontId="22" numFmtId="0" xfId="0" applyAlignment="1" applyFont="1">
      <alignment readingOrder="0"/>
    </xf>
    <xf borderId="0" fillId="0" fontId="21" numFmtId="165" xfId="0" applyAlignment="1" applyFont="1" applyNumberFormat="1">
      <alignment readingOrder="0"/>
    </xf>
    <xf borderId="0" fillId="0" fontId="5" numFmtId="1" xfId="0" applyAlignment="1" applyFont="1" applyNumberFormat="1">
      <alignment vertical="center"/>
    </xf>
    <xf borderId="0" fillId="0" fontId="23" numFmtId="0" xfId="0" applyAlignment="1" applyFont="1">
      <alignment readingOrder="0" vertical="center"/>
    </xf>
    <xf borderId="0" fillId="0" fontId="24" numFmtId="0" xfId="0" applyAlignment="1" applyFont="1">
      <alignment vertical="center"/>
    </xf>
    <xf borderId="0" fillId="0" fontId="25" numFmtId="2" xfId="0" applyAlignment="1" applyFont="1" applyNumberFormat="1">
      <alignment readingOrder="0" vertical="center"/>
    </xf>
    <xf borderId="0" fillId="0" fontId="21" numFmtId="2" xfId="0" applyAlignment="1" applyFont="1" applyNumberFormat="1">
      <alignment readingOrder="0"/>
    </xf>
    <xf borderId="0" fillId="0" fontId="21" numFmtId="166" xfId="0" applyAlignment="1" applyFont="1" applyNumberFormat="1">
      <alignment readingOrder="0"/>
    </xf>
    <xf borderId="0" fillId="0" fontId="26" numFmtId="0" xfId="0" applyAlignment="1" applyFont="1">
      <alignment readingOrder="0" vertical="center"/>
    </xf>
    <xf borderId="0" fillId="3" fontId="5" numFmtId="0" xfId="0" applyFont="1"/>
    <xf borderId="0" fillId="0" fontId="5" numFmtId="3" xfId="0" applyAlignment="1" applyFont="1" applyNumberFormat="1">
      <alignment readingOrder="0" vertical="center"/>
    </xf>
    <xf borderId="0" fillId="0" fontId="27" numFmtId="0" xfId="0" applyAlignment="1" applyFont="1">
      <alignment readingOrder="0" vertical="center"/>
    </xf>
    <xf borderId="0" fillId="0" fontId="28" numFmtId="2" xfId="0" applyAlignment="1" applyFont="1" applyNumberFormat="1">
      <alignment readingOrder="0"/>
    </xf>
    <xf borderId="0" fillId="0" fontId="5" numFmtId="165" xfId="0" applyAlignment="1" applyFont="1" applyNumberFormat="1">
      <alignment readingOrder="0" vertical="center"/>
    </xf>
    <xf borderId="0" fillId="0" fontId="4" numFmtId="2" xfId="0" applyAlignment="1" applyFont="1" applyNumberFormat="1">
      <alignment readingOrder="0" vertical="center"/>
    </xf>
    <xf borderId="0" fillId="0" fontId="29" numFmtId="165" xfId="0" applyAlignment="1" applyFont="1" applyNumberFormat="1">
      <alignment readingOrder="0"/>
    </xf>
    <xf borderId="0" fillId="0" fontId="29" numFmtId="0" xfId="0" applyAlignment="1" applyFont="1">
      <alignment readingOrder="0"/>
    </xf>
    <xf borderId="0" fillId="0" fontId="29" numFmtId="2" xfId="0" applyAlignment="1" applyFont="1" applyNumberFormat="1">
      <alignment readingOrder="0"/>
    </xf>
    <xf borderId="0" fillId="0" fontId="30" numFmtId="2" xfId="0" applyAlignment="1" applyFont="1" applyNumberFormat="1">
      <alignment readingOrder="0"/>
    </xf>
    <xf borderId="0" fillId="0" fontId="16" numFmtId="166" xfId="0" applyAlignment="1" applyFont="1" applyNumberFormat="1">
      <alignment readingOrder="0"/>
    </xf>
    <xf borderId="0" fillId="0" fontId="4" numFmtId="1" xfId="0" applyAlignment="1" applyFont="1" applyNumberFormat="1">
      <alignment readingOrder="0" vertical="center"/>
    </xf>
    <xf borderId="0" fillId="0" fontId="5" numFmtId="2" xfId="0" applyAlignment="1" applyFont="1" applyNumberFormat="1">
      <alignment horizontal="center" vertical="center"/>
    </xf>
    <xf borderId="0" fillId="0" fontId="25" numFmtId="1" xfId="0" applyAlignment="1" applyFont="1" applyNumberFormat="1">
      <alignment readingOrder="0" vertical="center"/>
    </xf>
    <xf borderId="0" fillId="0" fontId="31" numFmtId="0" xfId="0" applyAlignment="1" applyFont="1">
      <alignment vertical="center"/>
    </xf>
    <xf borderId="0" fillId="0" fontId="32" numFmtId="2" xfId="0" applyAlignment="1" applyFont="1" applyNumberFormat="1">
      <alignment readingOrder="0" vertical="center"/>
    </xf>
    <xf borderId="0" fillId="0" fontId="28" numFmtId="165" xfId="0" applyAlignment="1" applyFont="1" applyNumberFormat="1">
      <alignment readingOrder="0"/>
    </xf>
    <xf borderId="0" fillId="3" fontId="3" numFmtId="0" xfId="0" applyFont="1"/>
    <xf borderId="0" fillId="0" fontId="3" numFmtId="1" xfId="0" applyFont="1" applyNumberFormat="1"/>
    <xf borderId="0" fillId="0" fontId="5" numFmtId="0" xfId="0" applyFont="1"/>
    <xf borderId="0" fillId="0" fontId="2" numFmtId="0" xfId="0" applyFont="1"/>
    <xf borderId="9" fillId="0" fontId="2" numFmtId="0" xfId="0" applyBorder="1" applyFont="1"/>
    <xf borderId="9" fillId="0" fontId="5" numFmtId="0" xfId="0" applyBorder="1" applyFont="1"/>
    <xf borderId="0" fillId="0" fontId="5" numFmtId="0" xfId="0" applyAlignment="1" applyFont="1">
      <alignment shrinkToFit="0" wrapText="1"/>
    </xf>
    <xf borderId="0" fillId="0" fontId="25" numFmtId="0" xfId="0"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color rgb="FF9C0006"/>
      </font>
      <fill>
        <patternFill patternType="solid">
          <fgColor rgb="FFFFC7CE"/>
          <bgColor rgb="FFFFC7CE"/>
        </patternFill>
      </fill>
      <border/>
    </dxf>
  </dxfs>
  <tableStyles count="1">
    <tableStyle count="3" pivot="0" name="Hydro Plant Data-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K92" displayName="Table_1" name="Table_1" id="1">
  <tableColumns count="37">
    <tableColumn name="Name" id="1"/>
    <tableColumn name="Type" id="2"/>
    <tableColumn name="Power Output [MW]" id="3"/>
    <tableColumn name="Rated flow [m3/s]" id="4"/>
    <tableColumn name="Design head [m]" id="5"/>
    <tableColumn name="Turbine efficiency" id="6"/>
    <tableColumn name="Dam Total Storage [Mm3]" id="7"/>
    <tableColumn name="Dam Minimum Storage [Mm3]" id="8"/>
    <tableColumn name="Dam Active storage [Mm3]" id="9"/>
    <tableColumn name="Dam Average Inflow [m3/s]" id="10"/>
    <tableColumn name="Dam Catchment Area [km2]" id="11"/>
    <tableColumn name="EDL Capacity [MW]" id="12"/>
    <tableColumn name="IPP Capacity [MW]" id="13"/>
    <tableColumn name="EDL Production [GWh]" id="14"/>
    <tableColumn name="IPP Production [GWh]" id="15"/>
    <tableColumn name="Power House Latitude (x)" id="16"/>
    <tableColumn name="Power House Longitude (y)" id="17"/>
    <tableColumn name="Dam Latitude (x)" id="18"/>
    <tableColumn name="Dam Longitude (y)" id="19"/>
    <tableColumn name="Intake Latitude (x)" id="20"/>
    <tableColumn name="Intake Longitude (y)" id="21"/>
    <tableColumn name="Plant type" id="22"/>
    <tableColumn name="Turbine type" id="23"/>
    <tableColumn name="Number of Units" id="24"/>
    <tableColumn name="Units as a list" id="25"/>
    <tableColumn name="Region" id="26"/>
    <tableColumn name="River" id="27"/>
    <tableColumn name="Owner" id="28"/>
    <tableColumn name="Dam Min [masl]" id="29"/>
    <tableColumn name="Full Level [masl]" id="30"/>
    <tableColumn name="Min. Level [masl]" id="31"/>
    <tableColumn name="Start Year" id="32"/>
    <tableColumn name="Alternative Dam names (comma separated)" id="33"/>
    <tableColumn name="Alternative Generator names (comma separated)" id="34"/>
    <tableColumn name="Hobomaps Link" id="35"/>
    <tableColumn name="Operator Website" id="36"/>
    <tableColumn name="Note" id="37"/>
  </tableColumns>
  <tableStyleInfo name="Hydro Plant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amtheun2.com/" TargetMode="External"/><Relationship Id="rId42" Type="http://schemas.openxmlformats.org/officeDocument/2006/relationships/hyperlink" Target="https://thpc.la/" TargetMode="External"/><Relationship Id="rId41" Type="http://schemas.openxmlformats.org/officeDocument/2006/relationships/hyperlink" Target="https://hobomaps.com/TheunHinbounDams.html" TargetMode="External"/><Relationship Id="rId44" Type="http://schemas.openxmlformats.org/officeDocument/2006/relationships/hyperlink" Target="https://hobomaps.com/NamPhaoHydropower.html" TargetMode="External"/><Relationship Id="rId43" Type="http://schemas.openxmlformats.org/officeDocument/2006/relationships/hyperlink" Target="https://hobomaps.com/NamSorDamInfo.html" TargetMode="External"/><Relationship Id="rId46" Type="http://schemas.openxmlformats.org/officeDocument/2006/relationships/hyperlink" Target="https://hobomaps.com/TheunHinbounDams.html" TargetMode="External"/><Relationship Id="rId45" Type="http://schemas.openxmlformats.org/officeDocument/2006/relationships/hyperlink" Target="https://hobomaps.com/NamTheun1damInfo.html" TargetMode="External"/><Relationship Id="rId107" Type="http://schemas.openxmlformats.org/officeDocument/2006/relationships/hyperlink" Target="https://hobomaps.com/NamNga2DamInfo.html" TargetMode="External"/><Relationship Id="rId106" Type="http://schemas.openxmlformats.org/officeDocument/2006/relationships/hyperlink" Target="http://www.powerchina.cn/" TargetMode="External"/><Relationship Id="rId105" Type="http://schemas.openxmlformats.org/officeDocument/2006/relationships/hyperlink" Target="https://hobomaps.com/NamOu1damInfo.html" TargetMode="External"/><Relationship Id="rId104" Type="http://schemas.openxmlformats.org/officeDocument/2006/relationships/hyperlink" Target="http://www.powerchina.cn/" TargetMode="External"/><Relationship Id="rId109" Type="http://schemas.openxmlformats.org/officeDocument/2006/relationships/hyperlink" Target="https://hobomaps.com/NamLong1Dam.html" TargetMode="External"/><Relationship Id="rId108" Type="http://schemas.openxmlformats.org/officeDocument/2006/relationships/hyperlink" Target="https://hobomaps.com/NamNga2CDMapply.pdf" TargetMode="External"/><Relationship Id="rId48" Type="http://schemas.openxmlformats.org/officeDocument/2006/relationships/hyperlink" Target="https://hobomaps.com/NamHinboun2dam.html" TargetMode="External"/><Relationship Id="rId47" Type="http://schemas.openxmlformats.org/officeDocument/2006/relationships/hyperlink" Target="https://thpc.la/" TargetMode="External"/><Relationship Id="rId49" Type="http://schemas.openxmlformats.org/officeDocument/2006/relationships/hyperlink" Target="https://hobomaps.com/NamHinboun1Dam.html" TargetMode="External"/><Relationship Id="rId103" Type="http://schemas.openxmlformats.org/officeDocument/2006/relationships/hyperlink" Target="https://hobomaps.com/NamOu2damInfo.html" TargetMode="External"/><Relationship Id="rId102" Type="http://schemas.openxmlformats.org/officeDocument/2006/relationships/hyperlink" Target="http://www.powerchina.cn/" TargetMode="External"/><Relationship Id="rId101" Type="http://schemas.openxmlformats.org/officeDocument/2006/relationships/hyperlink" Target="https://hobomaps.com/NamOu3damInfo.html" TargetMode="External"/><Relationship Id="rId100" Type="http://schemas.openxmlformats.org/officeDocument/2006/relationships/hyperlink" Target="http://www.powerchina.cn/" TargetMode="External"/><Relationship Id="rId31" Type="http://schemas.openxmlformats.org/officeDocument/2006/relationships/hyperlink" Target="https://hobomaps.com/Xeset1damInfo.html" TargetMode="External"/><Relationship Id="rId30" Type="http://schemas.openxmlformats.org/officeDocument/2006/relationships/hyperlink" Target="https://edlgen.com.la/project/xexet2-hydro-power-plant-2/?lang=en" TargetMode="External"/><Relationship Id="rId33" Type="http://schemas.openxmlformats.org/officeDocument/2006/relationships/hyperlink" Target="https://hobomaps.com/HouayPorDamInfo.html" TargetMode="External"/><Relationship Id="rId32" Type="http://schemas.openxmlformats.org/officeDocument/2006/relationships/hyperlink" Target="https://edlgen.com.la/project/xeset-1-hydro-power-plant/?lang=en" TargetMode="External"/><Relationship Id="rId35" Type="http://schemas.openxmlformats.org/officeDocument/2006/relationships/hyperlink" Target="https://hobomaps.com/XelabamDam.html" TargetMode="External"/><Relationship Id="rId34" Type="http://schemas.openxmlformats.org/officeDocument/2006/relationships/hyperlink" Target="https://www.laohydropower.com/projects/houay-por/" TargetMode="External"/><Relationship Id="rId37" Type="http://schemas.openxmlformats.org/officeDocument/2006/relationships/hyperlink" Target="https://www.hobomaps.com/XeLanong1damInfo.html" TargetMode="External"/><Relationship Id="rId36" Type="http://schemas.openxmlformats.org/officeDocument/2006/relationships/hyperlink" Target="https://www.vaselaos.com/vase/index.php/68-project-update/161-selabam-expansion-project" TargetMode="External"/><Relationship Id="rId39" Type="http://schemas.openxmlformats.org/officeDocument/2006/relationships/hyperlink" Target="https://hobomaps.com/NamTheun2damInfo.html" TargetMode="External"/><Relationship Id="rId38" Type="http://schemas.openxmlformats.org/officeDocument/2006/relationships/hyperlink" Target="https://www.laohydropower.com/projects/xe-lanong-1/" TargetMode="External"/><Relationship Id="rId20" Type="http://schemas.openxmlformats.org/officeDocument/2006/relationships/hyperlink" Target="https://zzcontrols.com/xe-pian-xe-namnoy-project-in-laos/" TargetMode="External"/><Relationship Id="rId22" Type="http://schemas.openxmlformats.org/officeDocument/2006/relationships/hyperlink" Target="https://hobomaps.com/HouayHoDamInfo.html" TargetMode="External"/><Relationship Id="rId21" Type="http://schemas.openxmlformats.org/officeDocument/2006/relationships/hyperlink" Target="https://hobomaps.com/XeKatam1XeNamnoy2Dam.html" TargetMode="External"/><Relationship Id="rId24" Type="http://schemas.openxmlformats.org/officeDocument/2006/relationships/hyperlink" Target="https://hobomaps.com/DonSahongDam.html" TargetMode="External"/><Relationship Id="rId23" Type="http://schemas.openxmlformats.org/officeDocument/2006/relationships/hyperlink" Target="https://edlgen.com.la/project/houy-ho-hpp/?lang=en" TargetMode="External"/><Relationship Id="rId129" Type="http://schemas.openxmlformats.org/officeDocument/2006/relationships/hyperlink" Target="https://hobomaps.com/HouayKapheuDamInfo.html" TargetMode="External"/><Relationship Id="rId128" Type="http://schemas.openxmlformats.org/officeDocument/2006/relationships/hyperlink" Target="https://hobomaps.com/XeKatam1XeNamnoy2Dam.html" TargetMode="External"/><Relationship Id="rId127" Type="http://schemas.openxmlformats.org/officeDocument/2006/relationships/hyperlink" Target="https://hobomaps.com/TadSalenDamInfo.html" TargetMode="External"/><Relationship Id="rId126" Type="http://schemas.openxmlformats.org/officeDocument/2006/relationships/hyperlink" Target="https://hobomaps.com/NamSanaDamInfo.html" TargetMode="External"/><Relationship Id="rId26" Type="http://schemas.openxmlformats.org/officeDocument/2006/relationships/hyperlink" Target="https://hobomaps.com/TadChiadDamInfo.html" TargetMode="External"/><Relationship Id="rId121" Type="http://schemas.openxmlformats.org/officeDocument/2006/relationships/hyperlink" Target="https://hobomaps.com/NamBengDam.html" TargetMode="External"/><Relationship Id="rId25" Type="http://schemas.openxmlformats.org/officeDocument/2006/relationships/hyperlink" Target="https://edlgen.com.la/project/dongsahong-hpp/?lang=en" TargetMode="External"/><Relationship Id="rId120" Type="http://schemas.openxmlformats.org/officeDocument/2006/relationships/hyperlink" Target="https://hobomaps.com/NamKapCDM.pdf" TargetMode="External"/><Relationship Id="rId28" Type="http://schemas.openxmlformats.org/officeDocument/2006/relationships/hyperlink" Target="https://www.laohydropower.com/projects/xeset-3/" TargetMode="External"/><Relationship Id="rId27" Type="http://schemas.openxmlformats.org/officeDocument/2006/relationships/hyperlink" Target="https://hobomaps.com/Xeset3damInfo.html" TargetMode="External"/><Relationship Id="rId125" Type="http://schemas.openxmlformats.org/officeDocument/2006/relationships/hyperlink" Target="https://hobomaps.com/NamKoOudomxayDam.html" TargetMode="External"/><Relationship Id="rId29" Type="http://schemas.openxmlformats.org/officeDocument/2006/relationships/hyperlink" Target="https://hobomaps.com/Xeset2damInfo.html" TargetMode="External"/><Relationship Id="rId124" Type="http://schemas.openxmlformats.org/officeDocument/2006/relationships/hyperlink" Target="https://hobomaps.com/NamHoung1damInfo.html" TargetMode="External"/><Relationship Id="rId123" Type="http://schemas.openxmlformats.org/officeDocument/2006/relationships/hyperlink" Target="https://hobomaps.com/LPBdamFeatures.pdf" TargetMode="External"/><Relationship Id="rId122" Type="http://schemas.openxmlformats.org/officeDocument/2006/relationships/hyperlink" Target="https://hobomaps.com/LuangPrabangDam.html" TargetMode="External"/><Relationship Id="rId95" Type="http://schemas.openxmlformats.org/officeDocument/2006/relationships/hyperlink" Target="https://hobomaps.com/NamOu6damInfo.html" TargetMode="External"/><Relationship Id="rId94" Type="http://schemas.openxmlformats.org/officeDocument/2006/relationships/hyperlink" Target="http://www.powerchina.cn/" TargetMode="External"/><Relationship Id="rId97" Type="http://schemas.openxmlformats.org/officeDocument/2006/relationships/hyperlink" Target="https://hobomaps.com/NamOu5damInfo.html" TargetMode="External"/><Relationship Id="rId96" Type="http://schemas.openxmlformats.org/officeDocument/2006/relationships/hyperlink" Target="http://www.powerchina.cn/" TargetMode="External"/><Relationship Id="rId11" Type="http://schemas.openxmlformats.org/officeDocument/2006/relationships/hyperlink" Target="https://www.laohydropower.com/projects/xe-kaman-3/" TargetMode="External"/><Relationship Id="rId99" Type="http://schemas.openxmlformats.org/officeDocument/2006/relationships/hyperlink" Target="https://hobomaps.com/NamOu4damInfo.html" TargetMode="External"/><Relationship Id="rId10" Type="http://schemas.openxmlformats.org/officeDocument/2006/relationships/hyperlink" Target="https://hobomaps.com/Xekaman3dam.html" TargetMode="External"/><Relationship Id="rId98" Type="http://schemas.openxmlformats.org/officeDocument/2006/relationships/hyperlink" Target="http://www.powerchina.cn/" TargetMode="External"/><Relationship Id="rId13" Type="http://schemas.openxmlformats.org/officeDocument/2006/relationships/hyperlink" Target="https://www.laohydropower.com/projects/xe-kaman-1/" TargetMode="External"/><Relationship Id="rId12" Type="http://schemas.openxmlformats.org/officeDocument/2006/relationships/hyperlink" Target="https://hobomaps.com/Xekaman1dam.html" TargetMode="External"/><Relationship Id="rId91" Type="http://schemas.openxmlformats.org/officeDocument/2006/relationships/hyperlink" Target="https://hobomaps.com/NamTha2HadMuakDam.html" TargetMode="External"/><Relationship Id="rId90" Type="http://schemas.openxmlformats.org/officeDocument/2006/relationships/hyperlink" Target="https://hobomaps.com/NamTha1damInfo.html" TargetMode="External"/><Relationship Id="rId93" Type="http://schemas.openxmlformats.org/officeDocument/2006/relationships/hyperlink" Target="https://hobomaps.com/NamOu7damInfo.html" TargetMode="External"/><Relationship Id="rId92" Type="http://schemas.openxmlformats.org/officeDocument/2006/relationships/hyperlink" Target="https://hobomaps.com/NamThaLanDamInfo.html" TargetMode="External"/><Relationship Id="rId118" Type="http://schemas.openxmlformats.org/officeDocument/2006/relationships/hyperlink" Target="https://hobomaps.com/XeNamnoy1dam.html" TargetMode="External"/><Relationship Id="rId117" Type="http://schemas.openxmlformats.org/officeDocument/2006/relationships/hyperlink" Target="https://www.ckpower.co.th/en/projects/hydro-power/58/xayaburi-hydroelectric-power-plant/" TargetMode="External"/><Relationship Id="rId116" Type="http://schemas.openxmlformats.org/officeDocument/2006/relationships/hyperlink" Target="https://hobomaps.com/SayabouryDamInfo.html" TargetMode="External"/><Relationship Id="rId115" Type="http://schemas.openxmlformats.org/officeDocument/2006/relationships/hyperlink" Target="https://edlgen.com.la/uploads/EIA/Nam-Kan-2-HPP-EIA-Report.pdf" TargetMode="External"/><Relationship Id="rId119" Type="http://schemas.openxmlformats.org/officeDocument/2006/relationships/hyperlink" Target="https://hobomaps.com/NamKapDamInfo.html" TargetMode="External"/><Relationship Id="rId15" Type="http://schemas.openxmlformats.org/officeDocument/2006/relationships/hyperlink" Target="https://hobomaps.com/HouayLamphanGnaiDam.html" TargetMode="External"/><Relationship Id="rId110" Type="http://schemas.openxmlformats.org/officeDocument/2006/relationships/hyperlink" Target="https://hobomaps.com/NamLong1CDMapplication.pdf" TargetMode="External"/><Relationship Id="rId14" Type="http://schemas.openxmlformats.org/officeDocument/2006/relationships/hyperlink" Target="https://hobomaps.com/XekamanXanxayDam.html" TargetMode="External"/><Relationship Id="rId17" Type="http://schemas.openxmlformats.org/officeDocument/2006/relationships/hyperlink" Target="https://hobomaps.com/HouayLamphanLowerDamInfo.html" TargetMode="External"/><Relationship Id="rId16" Type="http://schemas.openxmlformats.org/officeDocument/2006/relationships/hyperlink" Target="https://edlgen.com.la/project/houaylamphanhgnai-hydro-power-plant/?lang=en" TargetMode="External"/><Relationship Id="rId19" Type="http://schemas.openxmlformats.org/officeDocument/2006/relationships/hyperlink" Target="https://hobomaps.com/XePianXeNamnoyDamsInfo.html" TargetMode="External"/><Relationship Id="rId114" Type="http://schemas.openxmlformats.org/officeDocument/2006/relationships/hyperlink" Target="https://hobomaps.com/NamKhan2Dam.html" TargetMode="External"/><Relationship Id="rId18" Type="http://schemas.openxmlformats.org/officeDocument/2006/relationships/hyperlink" Target="https://hobomaps.com/XeNamnoy6dam.html" TargetMode="External"/><Relationship Id="rId113" Type="http://schemas.openxmlformats.org/officeDocument/2006/relationships/hyperlink" Target="https://hobomaps.com/NamKhan3Dam.html" TargetMode="External"/><Relationship Id="rId112" Type="http://schemas.openxmlformats.org/officeDocument/2006/relationships/hyperlink" Target="https://hobomaps.com/NamLeukDamInfo.html" TargetMode="External"/><Relationship Id="rId111" Type="http://schemas.openxmlformats.org/officeDocument/2006/relationships/hyperlink" Target="https://hobomaps.com/NamLong2Dam.html" TargetMode="External"/><Relationship Id="rId84" Type="http://schemas.openxmlformats.org/officeDocument/2006/relationships/hyperlink" Target="https://hobomaps.com/NamPhayDamInfo.html" TargetMode="External"/><Relationship Id="rId83" Type="http://schemas.openxmlformats.org/officeDocument/2006/relationships/hyperlink" Target="https://www.google.com/search?q=http://edlgen.com.la/" TargetMode="External"/><Relationship Id="rId86" Type="http://schemas.openxmlformats.org/officeDocument/2006/relationships/hyperlink" Target="https://hobomaps.com/NamLik1DamInfo.html" TargetMode="External"/><Relationship Id="rId85" Type="http://schemas.openxmlformats.org/officeDocument/2006/relationships/hyperlink" Target="https://www.google.com/search?q=http://www.norinco-intl.com/" TargetMode="External"/><Relationship Id="rId88" Type="http://schemas.openxmlformats.org/officeDocument/2006/relationships/hyperlink" Target="https://hobomaps.com/NamLik2DamInfo.html" TargetMode="External"/><Relationship Id="rId87" Type="http://schemas.openxmlformats.org/officeDocument/2006/relationships/hyperlink" Target="https://www.gpscgroup.com/en/business/project/29/nam-lik-1-power-company-limited-nl1pc" TargetMode="External"/><Relationship Id="rId89" Type="http://schemas.openxmlformats.org/officeDocument/2006/relationships/hyperlink" Target="https://hobomaps.com/NamTha3dam.html" TargetMode="External"/><Relationship Id="rId80" Type="http://schemas.openxmlformats.org/officeDocument/2006/relationships/hyperlink" Target="https://hobomaps.com/NamPhaGnaiDam.html" TargetMode="External"/><Relationship Id="rId82" Type="http://schemas.openxmlformats.org/officeDocument/2006/relationships/hyperlink" Target="https://hobomaps.com/NamSongDiversionDam.html" TargetMode="External"/><Relationship Id="rId81" Type="http://schemas.openxmlformats.org/officeDocument/2006/relationships/hyperlink" Target="https://www.google.com/search?q=http://edlgen.com.la/" TargetMode="External"/><Relationship Id="rId1" Type="http://schemas.openxmlformats.org/officeDocument/2006/relationships/hyperlink" Target="https://hobomaps.com/NamPeun2DamInfo.html" TargetMode="External"/><Relationship Id="rId2" Type="http://schemas.openxmlformats.org/officeDocument/2006/relationships/hyperlink" Target="https://hobomaps.com/NamPeun1DamInfo.html" TargetMode="External"/><Relationship Id="rId3" Type="http://schemas.openxmlformats.org/officeDocument/2006/relationships/hyperlink" Target="https://hobomaps.com/NamTheaDam.html" TargetMode="External"/><Relationship Id="rId4" Type="http://schemas.openxmlformats.org/officeDocument/2006/relationships/hyperlink" Target="https://hobomaps.com/NamKong1Dam.html" TargetMode="External"/><Relationship Id="rId9" Type="http://schemas.openxmlformats.org/officeDocument/2006/relationships/hyperlink" Target="https://www.laohydropower.com/projects/nam-kong-3/" TargetMode="External"/><Relationship Id="rId5" Type="http://schemas.openxmlformats.org/officeDocument/2006/relationships/hyperlink" Target="https://www.laohydropower.com/projects/nam-kong-1/" TargetMode="External"/><Relationship Id="rId6" Type="http://schemas.openxmlformats.org/officeDocument/2006/relationships/hyperlink" Target="https://hobomaps.com/NamKong2Dam.html" TargetMode="External"/><Relationship Id="rId7" Type="http://schemas.openxmlformats.org/officeDocument/2006/relationships/hyperlink" Target="https://www.laohydropower.com/projects/nam-kong-2/" TargetMode="External"/><Relationship Id="rId8" Type="http://schemas.openxmlformats.org/officeDocument/2006/relationships/hyperlink" Target="https://hobomaps.com/NamKong3Dam.html" TargetMode="External"/><Relationship Id="rId73" Type="http://schemas.openxmlformats.org/officeDocument/2006/relationships/hyperlink" Target="https://www.edl.com.la/" TargetMode="External"/><Relationship Id="rId72" Type="http://schemas.openxmlformats.org/officeDocument/2006/relationships/hyperlink" Target="https://hobomaps.com/NamNgum3Dam.html" TargetMode="External"/><Relationship Id="rId75" Type="http://schemas.openxmlformats.org/officeDocument/2006/relationships/hyperlink" Target="https://www.ckpower.co.th/" TargetMode="External"/><Relationship Id="rId74" Type="http://schemas.openxmlformats.org/officeDocument/2006/relationships/hyperlink" Target="https://hobomaps.com/NamNgum2Dam.html" TargetMode="External"/><Relationship Id="rId77" Type="http://schemas.openxmlformats.org/officeDocument/2006/relationships/hyperlink" Target="https://www.google.com/search?q=http://edlgen.com.la/" TargetMode="External"/><Relationship Id="rId76" Type="http://schemas.openxmlformats.org/officeDocument/2006/relationships/hyperlink" Target="https://hobomaps.com/NamNgum1Dam.html" TargetMode="External"/><Relationship Id="rId79" Type="http://schemas.openxmlformats.org/officeDocument/2006/relationships/hyperlink" Target="https://www.google.com/search?q=http://edlgen.com.la/" TargetMode="External"/><Relationship Id="rId78" Type="http://schemas.openxmlformats.org/officeDocument/2006/relationships/hyperlink" Target="https://hobomaps.com/NamNgum1Dam.html" TargetMode="External"/><Relationship Id="rId71" Type="http://schemas.openxmlformats.org/officeDocument/2006/relationships/hyperlink" Target="https://www.edl.com.la/" TargetMode="External"/><Relationship Id="rId70" Type="http://schemas.openxmlformats.org/officeDocument/2006/relationships/hyperlink" Target="https://hobomaps.com/NamNgum4Dam.html" TargetMode="External"/><Relationship Id="rId131" Type="http://schemas.openxmlformats.org/officeDocument/2006/relationships/drawing" Target="../drawings/drawing1.xml"/><Relationship Id="rId130" Type="http://schemas.openxmlformats.org/officeDocument/2006/relationships/hyperlink" Target="https://hobomaps.com/NamHaoDamInfo.html" TargetMode="External"/><Relationship Id="rId133" Type="http://schemas.openxmlformats.org/officeDocument/2006/relationships/table" Target="../tables/table1.xml"/><Relationship Id="rId62" Type="http://schemas.openxmlformats.org/officeDocument/2006/relationships/hyperlink" Target="https://hobomaps.com/NamChe1damInfo.html" TargetMode="External"/><Relationship Id="rId61" Type="http://schemas.openxmlformats.org/officeDocument/2006/relationships/hyperlink" Target="https://hobomaps.com/NamChiane1dam.html" TargetMode="External"/><Relationship Id="rId64" Type="http://schemas.openxmlformats.org/officeDocument/2006/relationships/hyperlink" Target="https://hobomaps.com/NamNgiep1DamInfo.html" TargetMode="External"/><Relationship Id="rId63" Type="http://schemas.openxmlformats.org/officeDocument/2006/relationships/hyperlink" Target="https://hobomaps.com/NamAoNamPotHydropower.html" TargetMode="External"/><Relationship Id="rId66" Type="http://schemas.openxmlformats.org/officeDocument/2006/relationships/hyperlink" Target="https://hobomaps.com/NamMang3DamInfo.html" TargetMode="External"/><Relationship Id="rId65" Type="http://schemas.openxmlformats.org/officeDocument/2006/relationships/hyperlink" Target="https://hobomaps.com/NamMang1DamInfo.html" TargetMode="External"/><Relationship Id="rId68" Type="http://schemas.openxmlformats.org/officeDocument/2006/relationships/hyperlink" Target="https://hobomaps.com/NamNgum5Dam.html" TargetMode="External"/><Relationship Id="rId67" Type="http://schemas.openxmlformats.org/officeDocument/2006/relationships/hyperlink" Target="https://www.google.com/search?q=http://edlgen.com.la/" TargetMode="External"/><Relationship Id="rId60" Type="http://schemas.openxmlformats.org/officeDocument/2006/relationships/hyperlink" Target="https://hobomaps.com/NamNgiep2Adam.html" TargetMode="External"/><Relationship Id="rId69" Type="http://schemas.openxmlformats.org/officeDocument/2006/relationships/hyperlink" Target="http://www.powerchina.cn/" TargetMode="External"/><Relationship Id="rId51" Type="http://schemas.openxmlformats.org/officeDocument/2006/relationships/hyperlink" Target="https://www.bcpggroup.com/" TargetMode="External"/><Relationship Id="rId50" Type="http://schemas.openxmlformats.org/officeDocument/2006/relationships/hyperlink" Target="https://hobomaps.com/NamSan3dams.html" TargetMode="External"/><Relationship Id="rId53" Type="http://schemas.openxmlformats.org/officeDocument/2006/relationships/hyperlink" Target="https://www.bcpggroup.com/" TargetMode="External"/><Relationship Id="rId52" Type="http://schemas.openxmlformats.org/officeDocument/2006/relationships/hyperlink" Target="https://hobomaps.com/NamSan3dams.html" TargetMode="External"/><Relationship Id="rId55" Type="http://schemas.openxmlformats.org/officeDocument/2006/relationships/hyperlink" Target="https://hobomaps.com/NamSenTadLangHydropower.html" TargetMode="External"/><Relationship Id="rId54" Type="http://schemas.openxmlformats.org/officeDocument/2006/relationships/hyperlink" Target="https://www.bcpggroup.com/" TargetMode="External"/><Relationship Id="rId57" Type="http://schemas.openxmlformats.org/officeDocument/2006/relationships/hyperlink" Target="https://hobomaps.com/NamNgiep2DamInfo.html" TargetMode="External"/><Relationship Id="rId56" Type="http://schemas.openxmlformats.org/officeDocument/2006/relationships/hyperlink" Target="https://hobomaps.com/NamNgiep3Adam.html" TargetMode="External"/><Relationship Id="rId59" Type="http://schemas.openxmlformats.org/officeDocument/2006/relationships/hyperlink" Target="https://hobomaps.com/NamNgiep2Bdam.html" TargetMode="External"/><Relationship Id="rId58" Type="http://schemas.openxmlformats.org/officeDocument/2006/relationships/hyperlink" Target="https://hobomaps.com/NamNgiep2Cdam.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5.57"/>
    <col customWidth="1" min="2" max="2" width="19.86"/>
    <col customWidth="1" min="3" max="3" width="19.71"/>
    <col customWidth="1" min="4" max="4" width="17.71"/>
    <col customWidth="1" min="5" max="8" width="16.0"/>
    <col customWidth="1" min="9" max="9" width="20.86"/>
    <col customWidth="1" min="10" max="10" width="21.29"/>
    <col customWidth="1" min="11" max="11" width="17.0"/>
    <col customWidth="1" min="12" max="12" width="9.71"/>
    <col customWidth="1" min="13" max="13" width="10.71"/>
    <col customWidth="1" min="14" max="14" width="10.29"/>
    <col customWidth="1" min="15" max="15" width="9.14"/>
    <col customWidth="1" min="16" max="21" width="18.0"/>
    <col customWidth="1" min="22" max="22" width="19.71"/>
    <col customWidth="1" min="23" max="23" width="13.29"/>
    <col customWidth="1" min="24" max="24" width="15.57"/>
    <col customWidth="1" min="25" max="25" width="44.57"/>
    <col customWidth="1" min="26" max="26" width="11.71"/>
    <col customWidth="1" min="27" max="27" width="23.86"/>
    <col customWidth="1" min="28" max="29" width="22.57"/>
    <col customWidth="1" min="30" max="30" width="16.0"/>
    <col customWidth="1" min="31" max="31" width="17.0"/>
    <col customWidth="1" min="32" max="32" width="12.57"/>
    <col customWidth="1" min="33" max="34" width="26.57"/>
    <col customWidth="1" min="35" max="35" width="50.71"/>
    <col customWidth="1" min="36" max="36" width="40.86"/>
  </cols>
  <sheetData>
    <row r="1" ht="6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2" t="s">
        <v>22</v>
      </c>
      <c r="X1" s="2" t="s">
        <v>23</v>
      </c>
      <c r="Y1" s="2" t="s">
        <v>24</v>
      </c>
      <c r="Z1" s="2" t="s">
        <v>25</v>
      </c>
      <c r="AA1" s="2" t="s">
        <v>26</v>
      </c>
      <c r="AB1" s="2" t="s">
        <v>27</v>
      </c>
      <c r="AC1" s="2" t="s">
        <v>28</v>
      </c>
      <c r="AD1" s="2" t="s">
        <v>29</v>
      </c>
      <c r="AE1" s="3" t="s">
        <v>30</v>
      </c>
      <c r="AF1" s="4" t="s">
        <v>31</v>
      </c>
      <c r="AG1" s="5" t="s">
        <v>32</v>
      </c>
      <c r="AH1" s="5" t="s">
        <v>33</v>
      </c>
      <c r="AI1" s="6" t="s">
        <v>34</v>
      </c>
      <c r="AJ1" s="6" t="s">
        <v>35</v>
      </c>
      <c r="AK1" s="7" t="s">
        <v>36</v>
      </c>
      <c r="AL1" s="8"/>
      <c r="AM1" s="8"/>
      <c r="AN1" s="8"/>
      <c r="AO1" s="8"/>
      <c r="AP1" s="8"/>
      <c r="AQ1" s="8"/>
      <c r="AR1" s="8"/>
      <c r="AS1" s="8"/>
      <c r="AT1" s="8"/>
      <c r="AU1" s="8"/>
      <c r="AV1" s="8"/>
      <c r="AW1" s="8"/>
      <c r="AX1" s="8"/>
      <c r="AY1" s="8"/>
      <c r="AZ1" s="8"/>
    </row>
    <row r="2" ht="14.25" customHeight="1">
      <c r="A2" s="9" t="s">
        <v>37</v>
      </c>
      <c r="B2" s="10" t="s">
        <v>38</v>
      </c>
      <c r="C2" s="11">
        <v>12.0</v>
      </c>
      <c r="D2" s="12"/>
      <c r="E2" s="13"/>
      <c r="F2" s="14">
        <v>95.0</v>
      </c>
      <c r="G2" s="13"/>
      <c r="H2" s="13"/>
      <c r="I2" s="13"/>
      <c r="J2" s="14">
        <v>8.0</v>
      </c>
      <c r="K2" s="14">
        <v>85.0</v>
      </c>
      <c r="L2" s="13"/>
      <c r="M2" s="11">
        <v>12.0</v>
      </c>
      <c r="N2" s="13"/>
      <c r="O2" s="14">
        <v>68.0</v>
      </c>
      <c r="P2" s="15">
        <v>20.037639</v>
      </c>
      <c r="Q2" s="15">
        <v>103.982861</v>
      </c>
      <c r="R2" s="15">
        <v>20.064611</v>
      </c>
      <c r="S2" s="15">
        <v>103.977194</v>
      </c>
      <c r="T2" s="15"/>
      <c r="U2" s="15"/>
      <c r="V2" s="16"/>
      <c r="W2" s="10" t="s">
        <v>39</v>
      </c>
      <c r="X2" s="10">
        <v>1.0</v>
      </c>
      <c r="Y2" s="10">
        <v>12.0</v>
      </c>
      <c r="Z2" s="10" t="s">
        <v>40</v>
      </c>
      <c r="AA2" s="10" t="s">
        <v>41</v>
      </c>
      <c r="AB2" s="17" t="s">
        <v>42</v>
      </c>
      <c r="AC2" s="13"/>
      <c r="AD2" s="13"/>
      <c r="AE2" s="18"/>
      <c r="AF2" s="19">
        <v>2017.0</v>
      </c>
      <c r="AG2" s="20"/>
      <c r="AH2" s="21" t="s">
        <v>43</v>
      </c>
      <c r="AI2" s="22" t="s">
        <v>44</v>
      </c>
      <c r="AJ2" s="23"/>
      <c r="AK2" s="23"/>
    </row>
    <row r="3" ht="14.25" customHeight="1">
      <c r="A3" s="24" t="s">
        <v>45</v>
      </c>
      <c r="B3" s="10" t="s">
        <v>38</v>
      </c>
      <c r="C3" s="11">
        <v>29.1</v>
      </c>
      <c r="D3" s="12"/>
      <c r="E3" s="14">
        <v>114.0</v>
      </c>
      <c r="F3" s="14">
        <v>95.0</v>
      </c>
      <c r="G3" s="13"/>
      <c r="H3" s="13"/>
      <c r="I3" s="13"/>
      <c r="J3" s="11">
        <v>12.0</v>
      </c>
      <c r="K3" s="14">
        <v>114.0</v>
      </c>
      <c r="L3" s="13"/>
      <c r="M3" s="14">
        <v>29.1</v>
      </c>
      <c r="N3" s="13"/>
      <c r="O3" s="14">
        <v>140.0</v>
      </c>
      <c r="P3" s="15">
        <v>19.979167</v>
      </c>
      <c r="Q3" s="15">
        <v>103.892222</v>
      </c>
      <c r="R3" s="15">
        <v>20.007333</v>
      </c>
      <c r="S3" s="15">
        <v>103.941861</v>
      </c>
      <c r="T3" s="15">
        <v>20.007333</v>
      </c>
      <c r="U3" s="15">
        <v>103.941861</v>
      </c>
      <c r="V3" s="16"/>
      <c r="W3" s="10" t="s">
        <v>39</v>
      </c>
      <c r="X3" s="10">
        <v>3.0</v>
      </c>
      <c r="Y3" s="17">
        <v>9.7</v>
      </c>
      <c r="Z3" s="10" t="s">
        <v>40</v>
      </c>
      <c r="AA3" s="10" t="s">
        <v>41</v>
      </c>
      <c r="AB3" s="17" t="s">
        <v>42</v>
      </c>
      <c r="AC3" s="13"/>
      <c r="AD3" s="13"/>
      <c r="AE3" s="18"/>
      <c r="AF3" s="19">
        <v>2018.0</v>
      </c>
      <c r="AG3" s="20"/>
      <c r="AH3" s="21" t="s">
        <v>46</v>
      </c>
      <c r="AI3" s="25" t="s">
        <v>47</v>
      </c>
      <c r="AJ3" s="23"/>
      <c r="AK3" s="23"/>
    </row>
    <row r="4" ht="14.25" customHeight="1">
      <c r="A4" s="9" t="s">
        <v>48</v>
      </c>
      <c r="B4" s="10" t="s">
        <v>38</v>
      </c>
      <c r="C4" s="11">
        <v>24.6</v>
      </c>
      <c r="D4" s="12"/>
      <c r="E4" s="13"/>
      <c r="F4" s="11">
        <v>95.0</v>
      </c>
      <c r="G4" s="13"/>
      <c r="H4" s="13"/>
      <c r="I4" s="13"/>
      <c r="J4" s="14">
        <v>7.0</v>
      </c>
      <c r="K4" s="14">
        <v>32.0</v>
      </c>
      <c r="L4" s="13"/>
      <c r="M4" s="14">
        <v>24.6</v>
      </c>
      <c r="N4" s="13"/>
      <c r="O4" s="11">
        <v>119.0</v>
      </c>
      <c r="P4" s="15">
        <v>19.595381</v>
      </c>
      <c r="Q4" s="15">
        <v>103.576411</v>
      </c>
      <c r="R4" s="15">
        <v>19.556087</v>
      </c>
      <c r="S4" s="15">
        <v>103.539681</v>
      </c>
      <c r="T4" s="26"/>
      <c r="U4" s="26"/>
      <c r="V4" s="16"/>
      <c r="W4" s="10" t="s">
        <v>39</v>
      </c>
      <c r="X4" s="10">
        <v>3.0</v>
      </c>
      <c r="Y4" s="17">
        <v>8.2</v>
      </c>
      <c r="Z4" s="10" t="s">
        <v>40</v>
      </c>
      <c r="AA4" s="10" t="s">
        <v>48</v>
      </c>
      <c r="AB4" s="17" t="s">
        <v>42</v>
      </c>
      <c r="AC4" s="13"/>
      <c r="AD4" s="13"/>
      <c r="AE4" s="18"/>
      <c r="AF4" s="19">
        <v>2021.0</v>
      </c>
      <c r="AG4" s="20"/>
      <c r="AH4" s="21" t="s">
        <v>49</v>
      </c>
      <c r="AI4" s="25" t="s">
        <v>50</v>
      </c>
      <c r="AJ4" s="23"/>
      <c r="AK4" s="23"/>
    </row>
    <row r="5" ht="14.25" customHeight="1">
      <c r="A5" s="24" t="s">
        <v>51</v>
      </c>
      <c r="B5" s="10" t="s">
        <v>38</v>
      </c>
      <c r="C5" s="11">
        <v>160.0</v>
      </c>
      <c r="D5" s="13"/>
      <c r="E5" s="11">
        <v>190.0</v>
      </c>
      <c r="F5" s="14">
        <v>95.0</v>
      </c>
      <c r="G5" s="13"/>
      <c r="H5" s="13"/>
      <c r="I5" s="14">
        <v>109.0</v>
      </c>
      <c r="J5" s="14">
        <v>30.0</v>
      </c>
      <c r="K5" s="14">
        <v>437.0</v>
      </c>
      <c r="L5" s="13"/>
      <c r="M5" s="11">
        <v>160.0</v>
      </c>
      <c r="N5" s="13"/>
      <c r="O5" s="11">
        <v>633.0</v>
      </c>
      <c r="P5" s="15">
        <v>14.574111</v>
      </c>
      <c r="Q5" s="15">
        <v>106.736194</v>
      </c>
      <c r="R5" s="15">
        <v>14.546556</v>
      </c>
      <c r="S5" s="15">
        <v>106.741028</v>
      </c>
      <c r="T5" s="26"/>
      <c r="U5" s="26"/>
      <c r="V5" s="16"/>
      <c r="W5" s="10" t="s">
        <v>39</v>
      </c>
      <c r="X5" s="10">
        <v>2.0</v>
      </c>
      <c r="Y5" s="10">
        <v>80.0</v>
      </c>
      <c r="Z5" s="10" t="s">
        <v>52</v>
      </c>
      <c r="AA5" s="10" t="s">
        <v>53</v>
      </c>
      <c r="AB5" s="17" t="s">
        <v>42</v>
      </c>
      <c r="AC5" s="14">
        <v>287.0</v>
      </c>
      <c r="AD5" s="14">
        <v>320.0</v>
      </c>
      <c r="AE5" s="18"/>
      <c r="AF5" s="19">
        <v>2021.0</v>
      </c>
      <c r="AG5" s="20"/>
      <c r="AH5" s="23"/>
      <c r="AI5" s="25" t="s">
        <v>54</v>
      </c>
      <c r="AJ5" s="25" t="s">
        <v>55</v>
      </c>
      <c r="AK5" s="27"/>
    </row>
    <row r="6" ht="14.25" customHeight="1">
      <c r="A6" s="9" t="s">
        <v>56</v>
      </c>
      <c r="B6" s="10" t="s">
        <v>38</v>
      </c>
      <c r="C6" s="11">
        <v>66.0</v>
      </c>
      <c r="D6" s="13"/>
      <c r="E6" s="11">
        <v>98.0</v>
      </c>
      <c r="F6" s="14">
        <v>95.0</v>
      </c>
      <c r="G6" s="13"/>
      <c r="H6" s="13"/>
      <c r="I6" s="14">
        <v>47.0</v>
      </c>
      <c r="J6" s="11">
        <v>24.0</v>
      </c>
      <c r="K6" s="14">
        <v>391.0</v>
      </c>
      <c r="L6" s="13"/>
      <c r="M6" s="11">
        <v>66.0</v>
      </c>
      <c r="N6" s="13"/>
      <c r="O6" s="11">
        <v>263.0</v>
      </c>
      <c r="P6" s="15">
        <v>14.497944</v>
      </c>
      <c r="Q6" s="15">
        <v>106.820972</v>
      </c>
      <c r="R6" s="15">
        <v>14.5</v>
      </c>
      <c r="S6" s="15">
        <v>106.817</v>
      </c>
      <c r="T6" s="26"/>
      <c r="U6" s="26"/>
      <c r="V6" s="16"/>
      <c r="W6" s="10" t="s">
        <v>39</v>
      </c>
      <c r="X6" s="10">
        <v>3.0</v>
      </c>
      <c r="Y6" s="10">
        <v>22.0</v>
      </c>
      <c r="Z6" s="10" t="s">
        <v>52</v>
      </c>
      <c r="AA6" s="10" t="s">
        <v>53</v>
      </c>
      <c r="AB6" s="17" t="s">
        <v>42</v>
      </c>
      <c r="AC6" s="14">
        <v>437.0</v>
      </c>
      <c r="AD6" s="14">
        <v>460.0</v>
      </c>
      <c r="AE6" s="18"/>
      <c r="AF6" s="19">
        <v>2018.0</v>
      </c>
      <c r="AG6" s="20"/>
      <c r="AH6" s="23"/>
      <c r="AI6" s="25" t="s">
        <v>57</v>
      </c>
      <c r="AJ6" s="28" t="s">
        <v>58</v>
      </c>
      <c r="AK6" s="29"/>
    </row>
    <row r="7" ht="14.25" customHeight="1">
      <c r="A7" s="24" t="s">
        <v>59</v>
      </c>
      <c r="B7" s="10" t="s">
        <v>38</v>
      </c>
      <c r="C7" s="11">
        <v>54.0</v>
      </c>
      <c r="D7" s="11">
        <v>60.9</v>
      </c>
      <c r="E7" s="11">
        <v>96.4</v>
      </c>
      <c r="F7" s="14">
        <v>95.0</v>
      </c>
      <c r="G7" s="14">
        <v>471.0</v>
      </c>
      <c r="H7" s="11">
        <v>41.0</v>
      </c>
      <c r="I7" s="14">
        <v>430.0</v>
      </c>
      <c r="J7" s="11">
        <v>16.0</v>
      </c>
      <c r="K7" s="11">
        <v>162.0</v>
      </c>
      <c r="L7" s="13"/>
      <c r="M7" s="11">
        <v>54.0</v>
      </c>
      <c r="N7" s="13"/>
      <c r="O7" s="11">
        <v>204.0</v>
      </c>
      <c r="P7" s="15">
        <v>14.573</v>
      </c>
      <c r="Q7" s="15">
        <v>106.909</v>
      </c>
      <c r="R7" s="15">
        <v>14.573</v>
      </c>
      <c r="S7" s="15">
        <v>106.909</v>
      </c>
      <c r="T7" s="26"/>
      <c r="U7" s="26"/>
      <c r="V7" s="16"/>
      <c r="W7" s="10" t="s">
        <v>39</v>
      </c>
      <c r="X7" s="10">
        <v>3.0</v>
      </c>
      <c r="Y7" s="10">
        <v>54.0</v>
      </c>
      <c r="Z7" s="10" t="s">
        <v>52</v>
      </c>
      <c r="AA7" s="10" t="s">
        <v>53</v>
      </c>
      <c r="AB7" s="17" t="s">
        <v>42</v>
      </c>
      <c r="AC7" s="14">
        <v>521.0</v>
      </c>
      <c r="AD7" s="14">
        <v>541.8</v>
      </c>
      <c r="AE7" s="18"/>
      <c r="AF7" s="19">
        <v>2023.0</v>
      </c>
      <c r="AG7" s="20"/>
      <c r="AH7" s="23"/>
      <c r="AI7" s="25" t="s">
        <v>60</v>
      </c>
      <c r="AJ7" s="28" t="s">
        <v>61</v>
      </c>
      <c r="AK7" s="29"/>
    </row>
    <row r="8" ht="14.25" customHeight="1">
      <c r="A8" s="9" t="s">
        <v>62</v>
      </c>
      <c r="B8" s="10" t="s">
        <v>38</v>
      </c>
      <c r="C8" s="11">
        <v>250.0</v>
      </c>
      <c r="D8" s="11">
        <v>62.24</v>
      </c>
      <c r="E8" s="11">
        <v>520.0</v>
      </c>
      <c r="F8" s="11">
        <v>96.0</v>
      </c>
      <c r="G8" s="13"/>
      <c r="H8" s="13"/>
      <c r="I8" s="13"/>
      <c r="J8" s="14">
        <v>45.0</v>
      </c>
      <c r="K8" s="11">
        <v>710.0</v>
      </c>
      <c r="L8" s="14">
        <v>25.0</v>
      </c>
      <c r="M8" s="14">
        <v>225.0</v>
      </c>
      <c r="N8" s="17">
        <v>98.0</v>
      </c>
      <c r="O8" s="17">
        <v>880.0</v>
      </c>
      <c r="P8" s="15">
        <v>15.3753</v>
      </c>
      <c r="Q8" s="15">
        <v>107.4064</v>
      </c>
      <c r="R8" s="15">
        <v>15.4247</v>
      </c>
      <c r="S8" s="15">
        <v>107.3635</v>
      </c>
      <c r="T8" s="26"/>
      <c r="U8" s="26"/>
      <c r="V8" s="16"/>
      <c r="W8" s="10" t="s">
        <v>39</v>
      </c>
      <c r="X8" s="10">
        <v>2.0</v>
      </c>
      <c r="Y8" s="10">
        <v>125.0</v>
      </c>
      <c r="Z8" s="10" t="s">
        <v>52</v>
      </c>
      <c r="AA8" s="10" t="s">
        <v>63</v>
      </c>
      <c r="AB8" s="17" t="s">
        <v>42</v>
      </c>
      <c r="AC8" s="14">
        <v>925.0</v>
      </c>
      <c r="AD8" s="14">
        <v>960.0</v>
      </c>
      <c r="AE8" s="18"/>
      <c r="AF8" s="19">
        <v>2022.0</v>
      </c>
      <c r="AG8" s="20"/>
      <c r="AH8" s="23"/>
      <c r="AI8" s="25" t="s">
        <v>64</v>
      </c>
      <c r="AJ8" s="28" t="s">
        <v>65</v>
      </c>
      <c r="AK8" s="29"/>
    </row>
    <row r="9" ht="14.25" customHeight="1">
      <c r="A9" s="24" t="s">
        <v>66</v>
      </c>
      <c r="B9" s="10" t="s">
        <v>38</v>
      </c>
      <c r="C9" s="11">
        <v>290.0</v>
      </c>
      <c r="D9" s="13"/>
      <c r="E9" s="11">
        <v>99.0</v>
      </c>
      <c r="F9" s="11">
        <v>96.0</v>
      </c>
      <c r="G9" s="13"/>
      <c r="H9" s="13"/>
      <c r="I9" s="13"/>
      <c r="J9" s="14">
        <v>235.0</v>
      </c>
      <c r="K9" s="11">
        <v>3580.0</v>
      </c>
      <c r="L9" s="14">
        <v>58.0</v>
      </c>
      <c r="M9" s="14">
        <v>232.0</v>
      </c>
      <c r="N9" s="14">
        <v>130.0</v>
      </c>
      <c r="O9" s="14">
        <v>1170.0</v>
      </c>
      <c r="P9" s="15">
        <v>14.959333</v>
      </c>
      <c r="Q9" s="15">
        <v>107.151611</v>
      </c>
      <c r="R9" s="15">
        <v>14.960041</v>
      </c>
      <c r="S9" s="15">
        <v>107.155538</v>
      </c>
      <c r="T9" s="26"/>
      <c r="U9" s="26"/>
      <c r="V9" s="16"/>
      <c r="W9" s="10" t="s">
        <v>39</v>
      </c>
      <c r="X9" s="10">
        <v>2.0</v>
      </c>
      <c r="Y9" s="10">
        <v>145.0</v>
      </c>
      <c r="Z9" s="10" t="s">
        <v>52</v>
      </c>
      <c r="AA9" s="10" t="s">
        <v>63</v>
      </c>
      <c r="AB9" s="17" t="s">
        <v>42</v>
      </c>
      <c r="AC9" s="14">
        <v>218.0</v>
      </c>
      <c r="AD9" s="14">
        <v>230.0</v>
      </c>
      <c r="AE9" s="18"/>
      <c r="AF9" s="19">
        <v>2016.0</v>
      </c>
      <c r="AG9" s="20"/>
      <c r="AH9" s="23"/>
      <c r="AI9" s="25" t="s">
        <v>67</v>
      </c>
      <c r="AJ9" s="25" t="s">
        <v>68</v>
      </c>
      <c r="AK9" s="27"/>
    </row>
    <row r="10" ht="14.25" customHeight="1">
      <c r="A10" s="9" t="s">
        <v>69</v>
      </c>
      <c r="B10" s="10" t="s">
        <v>38</v>
      </c>
      <c r="C10" s="11">
        <v>32.0</v>
      </c>
      <c r="D10" s="13"/>
      <c r="E10" s="13"/>
      <c r="F10" s="11">
        <v>94.0</v>
      </c>
      <c r="G10" s="13"/>
      <c r="H10" s="13"/>
      <c r="I10" s="13"/>
      <c r="J10" s="14">
        <v>245.0</v>
      </c>
      <c r="K10" s="11">
        <v>3740.0</v>
      </c>
      <c r="L10" s="14">
        <v>6.4</v>
      </c>
      <c r="M10" s="14">
        <v>25.6</v>
      </c>
      <c r="N10" s="14">
        <v>26.0</v>
      </c>
      <c r="O10" s="14">
        <v>104.0</v>
      </c>
      <c r="P10" s="15">
        <v>14.888412</v>
      </c>
      <c r="Q10" s="15">
        <v>107.116232</v>
      </c>
      <c r="R10" s="15">
        <v>14.888412</v>
      </c>
      <c r="S10" s="15">
        <v>107.116232</v>
      </c>
      <c r="T10" s="26"/>
      <c r="U10" s="26"/>
      <c r="V10" s="16"/>
      <c r="W10" s="10" t="s">
        <v>70</v>
      </c>
      <c r="X10" s="10">
        <v>2.0</v>
      </c>
      <c r="Y10" s="10">
        <v>16.0</v>
      </c>
      <c r="Z10" s="10" t="s">
        <v>52</v>
      </c>
      <c r="AA10" s="10" t="s">
        <v>63</v>
      </c>
      <c r="AB10" s="17" t="s">
        <v>42</v>
      </c>
      <c r="AC10" s="14">
        <v>122.0</v>
      </c>
      <c r="AD10" s="14">
        <v>123.0</v>
      </c>
      <c r="AE10" s="18"/>
      <c r="AF10" s="19">
        <v>2018.0</v>
      </c>
      <c r="AG10" s="20"/>
      <c r="AH10" s="23"/>
      <c r="AI10" s="25" t="s">
        <v>71</v>
      </c>
      <c r="AJ10" s="23"/>
      <c r="AK10" s="23"/>
    </row>
    <row r="11" ht="14.25" customHeight="1">
      <c r="A11" s="24" t="s">
        <v>72</v>
      </c>
      <c r="B11" s="10" t="s">
        <v>38</v>
      </c>
      <c r="C11" s="14">
        <v>88.0</v>
      </c>
      <c r="D11" s="13"/>
      <c r="E11" s="14">
        <v>529.0</v>
      </c>
      <c r="F11" s="14">
        <v>93.0</v>
      </c>
      <c r="G11" s="13"/>
      <c r="H11" s="13"/>
      <c r="I11" s="13"/>
      <c r="J11" s="14">
        <v>13.0</v>
      </c>
      <c r="K11" s="11">
        <v>240.0</v>
      </c>
      <c r="L11" s="11">
        <v>88.0</v>
      </c>
      <c r="M11" s="13"/>
      <c r="N11" s="14">
        <v>480.0</v>
      </c>
      <c r="O11" s="13"/>
      <c r="P11" s="15">
        <v>15.3589</v>
      </c>
      <c r="Q11" s="15">
        <v>106.5856</v>
      </c>
      <c r="R11" s="15">
        <v>15.3559</v>
      </c>
      <c r="S11" s="15">
        <v>106.4976</v>
      </c>
      <c r="T11" s="26"/>
      <c r="U11" s="26"/>
      <c r="V11" s="16"/>
      <c r="W11" s="10" t="s">
        <v>73</v>
      </c>
      <c r="X11" s="10">
        <v>2.0</v>
      </c>
      <c r="Y11" s="10">
        <v>44.0</v>
      </c>
      <c r="Z11" s="10" t="s">
        <v>52</v>
      </c>
      <c r="AA11" s="10" t="s">
        <v>74</v>
      </c>
      <c r="AB11" s="17" t="s">
        <v>75</v>
      </c>
      <c r="AC11" s="14">
        <v>795.0</v>
      </c>
      <c r="AD11" s="14">
        <v>820.0</v>
      </c>
      <c r="AE11" s="18"/>
      <c r="AF11" s="19">
        <v>2015.0</v>
      </c>
      <c r="AG11" s="20"/>
      <c r="AH11" s="23"/>
      <c r="AI11" s="25" t="s">
        <v>76</v>
      </c>
      <c r="AJ11" s="28" t="s">
        <v>77</v>
      </c>
      <c r="AK11" s="29"/>
    </row>
    <row r="12" ht="14.25" customHeight="1">
      <c r="A12" s="9" t="s">
        <v>78</v>
      </c>
      <c r="B12" s="10" t="s">
        <v>38</v>
      </c>
      <c r="C12" s="11">
        <v>15.0</v>
      </c>
      <c r="D12" s="13"/>
      <c r="E12" s="14">
        <v>51.4</v>
      </c>
      <c r="F12" s="14">
        <v>95.0</v>
      </c>
      <c r="G12" s="13"/>
      <c r="H12" s="13"/>
      <c r="I12" s="13"/>
      <c r="J12" s="14">
        <v>14.5</v>
      </c>
      <c r="K12" s="11">
        <v>255.0</v>
      </c>
      <c r="L12" s="14">
        <v>15.0</v>
      </c>
      <c r="M12" s="11"/>
      <c r="N12" s="14">
        <v>68.0</v>
      </c>
      <c r="O12" s="13"/>
      <c r="P12" s="30">
        <v>15.319722</v>
      </c>
      <c r="Q12" s="30">
        <v>106.631111</v>
      </c>
      <c r="R12" s="15">
        <v>15.321542</v>
      </c>
      <c r="S12" s="15">
        <v>106.629617</v>
      </c>
      <c r="T12" s="26"/>
      <c r="U12" s="26"/>
      <c r="V12" s="16"/>
      <c r="W12" s="10" t="s">
        <v>73</v>
      </c>
      <c r="X12" s="10">
        <v>2.0</v>
      </c>
      <c r="Y12" s="10">
        <v>7.5</v>
      </c>
      <c r="Z12" s="10" t="s">
        <v>52</v>
      </c>
      <c r="AA12" s="10" t="s">
        <v>74</v>
      </c>
      <c r="AB12" s="17" t="s">
        <v>42</v>
      </c>
      <c r="AC12" s="13"/>
      <c r="AD12" s="14"/>
      <c r="AE12" s="18"/>
      <c r="AF12" s="19">
        <v>2022.0</v>
      </c>
      <c r="AG12" s="20"/>
      <c r="AH12" s="23"/>
      <c r="AI12" s="25" t="s">
        <v>79</v>
      </c>
      <c r="AJ12" s="23"/>
      <c r="AK12" s="23"/>
    </row>
    <row r="13" ht="14.25" customHeight="1">
      <c r="A13" s="24" t="s">
        <v>80</v>
      </c>
      <c r="B13" s="10" t="s">
        <v>81</v>
      </c>
      <c r="C13" s="31">
        <v>4.918</v>
      </c>
      <c r="D13" s="13"/>
      <c r="E13" s="11">
        <v>180.0</v>
      </c>
      <c r="F13" s="14">
        <v>94.0</v>
      </c>
      <c r="G13" s="13"/>
      <c r="H13" s="13"/>
      <c r="I13" s="13"/>
      <c r="J13" s="11">
        <v>12.0</v>
      </c>
      <c r="K13" s="11">
        <v>82.0</v>
      </c>
      <c r="L13" s="31">
        <v>4.918</v>
      </c>
      <c r="M13" s="13"/>
      <c r="N13" s="11">
        <v>18.5</v>
      </c>
      <c r="O13" s="13"/>
      <c r="P13" s="15">
        <v>15.136833</v>
      </c>
      <c r="Q13" s="15">
        <v>106.64425</v>
      </c>
      <c r="R13" s="15">
        <v>15.157389</v>
      </c>
      <c r="S13" s="15">
        <v>106.650583</v>
      </c>
      <c r="T13" s="26"/>
      <c r="U13" s="26"/>
      <c r="V13" s="16"/>
      <c r="W13" s="10" t="s">
        <v>39</v>
      </c>
      <c r="X13" s="10">
        <v>2.0</v>
      </c>
      <c r="Y13" s="10">
        <v>2.459</v>
      </c>
      <c r="Z13" s="10" t="s">
        <v>52</v>
      </c>
      <c r="AA13" s="10" t="s">
        <v>82</v>
      </c>
      <c r="AB13" s="17" t="s">
        <v>42</v>
      </c>
      <c r="AC13" s="13"/>
      <c r="AD13" s="13"/>
      <c r="AE13" s="18"/>
      <c r="AF13" s="19">
        <v>2015.0</v>
      </c>
      <c r="AG13" s="20"/>
      <c r="AH13" s="23"/>
      <c r="AI13" s="25" t="s">
        <v>83</v>
      </c>
      <c r="AJ13" s="23"/>
      <c r="AK13" s="23"/>
    </row>
    <row r="14" ht="14.25" customHeight="1">
      <c r="A14" s="9" t="s">
        <v>84</v>
      </c>
      <c r="B14" s="10" t="s">
        <v>38</v>
      </c>
      <c r="C14" s="11">
        <v>410.0</v>
      </c>
      <c r="D14" s="13"/>
      <c r="E14" s="13"/>
      <c r="F14" s="14">
        <v>96.0</v>
      </c>
      <c r="G14" s="13"/>
      <c r="H14" s="13"/>
      <c r="I14" s="13"/>
      <c r="J14" s="11">
        <v>45.0</v>
      </c>
      <c r="K14" s="11">
        <v>1022.0</v>
      </c>
      <c r="L14" s="14">
        <v>40.0</v>
      </c>
      <c r="M14" s="11">
        <v>370.0</v>
      </c>
      <c r="N14" s="11">
        <v>188.0</v>
      </c>
      <c r="O14" s="11">
        <v>1691.0</v>
      </c>
      <c r="P14" s="15">
        <v>14.841611</v>
      </c>
      <c r="Q14" s="15">
        <v>106.732333</v>
      </c>
      <c r="R14" s="15">
        <v>15.028306</v>
      </c>
      <c r="S14" s="15">
        <v>106.601389</v>
      </c>
      <c r="T14" s="15">
        <v>14.943389</v>
      </c>
      <c r="U14" s="30">
        <v>106.629361</v>
      </c>
      <c r="V14" s="16"/>
      <c r="W14" s="10" t="s">
        <v>85</v>
      </c>
      <c r="X14" s="10">
        <v>4.0</v>
      </c>
      <c r="Y14" s="10" t="s">
        <v>86</v>
      </c>
      <c r="Z14" s="10" t="s">
        <v>52</v>
      </c>
      <c r="AA14" s="10" t="s">
        <v>87</v>
      </c>
      <c r="AB14" s="17" t="s">
        <v>42</v>
      </c>
      <c r="AC14" s="14">
        <v>760.0</v>
      </c>
      <c r="AD14" s="14">
        <v>788.5</v>
      </c>
      <c r="AE14" s="18"/>
      <c r="AF14" s="19">
        <v>2019.0</v>
      </c>
      <c r="AG14" s="20"/>
      <c r="AH14" s="21" t="s">
        <v>88</v>
      </c>
      <c r="AI14" s="25" t="s">
        <v>89</v>
      </c>
      <c r="AJ14" s="25" t="s">
        <v>90</v>
      </c>
      <c r="AK14" s="23"/>
    </row>
    <row r="15" ht="14.25" customHeight="1">
      <c r="A15" s="24" t="s">
        <v>91</v>
      </c>
      <c r="B15" s="10" t="s">
        <v>38</v>
      </c>
      <c r="C15" s="11">
        <v>20.1</v>
      </c>
      <c r="D15" s="13"/>
      <c r="E15" s="13"/>
      <c r="F15" s="14">
        <v>95.0</v>
      </c>
      <c r="G15" s="13"/>
      <c r="H15" s="13"/>
      <c r="I15" s="13"/>
      <c r="J15" s="11">
        <v>16.0</v>
      </c>
      <c r="K15" s="11">
        <v>195.0</v>
      </c>
      <c r="L15" s="14">
        <v>20.1</v>
      </c>
      <c r="M15" s="13"/>
      <c r="N15" s="11">
        <v>83.0</v>
      </c>
      <c r="O15" s="13"/>
      <c r="P15" s="15">
        <v>15.122167</v>
      </c>
      <c r="Q15" s="15">
        <v>106.641389</v>
      </c>
      <c r="R15" s="15">
        <v>15.104861</v>
      </c>
      <c r="S15" s="15">
        <v>106.566139</v>
      </c>
      <c r="T15" s="15">
        <v>15.1217</v>
      </c>
      <c r="U15" s="15">
        <v>106.6067</v>
      </c>
      <c r="V15" s="16"/>
      <c r="W15" s="10" t="s">
        <v>39</v>
      </c>
      <c r="X15" s="10">
        <v>3.0</v>
      </c>
      <c r="Y15" s="17">
        <v>6.7</v>
      </c>
      <c r="Z15" s="10" t="s">
        <v>52</v>
      </c>
      <c r="AA15" s="10" t="s">
        <v>92</v>
      </c>
      <c r="AB15" s="17" t="s">
        <v>42</v>
      </c>
      <c r="AC15" s="13"/>
      <c r="AD15" s="13"/>
      <c r="AE15" s="18"/>
      <c r="AF15" s="19">
        <v>2107.0</v>
      </c>
      <c r="AG15" s="20"/>
      <c r="AH15" s="23"/>
      <c r="AI15" s="25" t="s">
        <v>93</v>
      </c>
      <c r="AJ15" s="23"/>
      <c r="AK15" s="23"/>
    </row>
    <row r="16" ht="14.25" customHeight="1">
      <c r="A16" s="9" t="s">
        <v>94</v>
      </c>
      <c r="B16" s="10" t="s">
        <v>38</v>
      </c>
      <c r="C16" s="11">
        <v>152.1</v>
      </c>
      <c r="D16" s="13"/>
      <c r="E16" s="14">
        <v>775.5</v>
      </c>
      <c r="F16" s="14">
        <v>95.0</v>
      </c>
      <c r="G16" s="13"/>
      <c r="H16" s="13"/>
      <c r="I16" s="13"/>
      <c r="J16" s="14">
        <v>10.5</v>
      </c>
      <c r="K16" s="11">
        <v>192.0</v>
      </c>
      <c r="L16" s="14">
        <v>2.1</v>
      </c>
      <c r="M16" s="14">
        <v>150.0</v>
      </c>
      <c r="N16" s="14">
        <v>9.0</v>
      </c>
      <c r="O16" s="14">
        <v>441.0</v>
      </c>
      <c r="P16" s="15">
        <v>15.0777</v>
      </c>
      <c r="Q16" s="15">
        <v>106.8295</v>
      </c>
      <c r="R16" s="15">
        <v>15.0589</v>
      </c>
      <c r="S16" s="15">
        <v>106.7645</v>
      </c>
      <c r="T16" s="15">
        <v>15.065</v>
      </c>
      <c r="U16" s="15">
        <v>106.806833</v>
      </c>
      <c r="V16" s="16"/>
      <c r="W16" s="10" t="s">
        <v>85</v>
      </c>
      <c r="X16" s="20"/>
      <c r="Y16" s="10" t="s">
        <v>95</v>
      </c>
      <c r="Z16" s="10" t="s">
        <v>52</v>
      </c>
      <c r="AA16" s="10" t="s">
        <v>94</v>
      </c>
      <c r="AB16" s="17" t="s">
        <v>42</v>
      </c>
      <c r="AC16" s="14">
        <v>861.0</v>
      </c>
      <c r="AD16" s="14">
        <v>883.0</v>
      </c>
      <c r="AE16" s="18"/>
      <c r="AF16" s="19">
        <v>1999.0</v>
      </c>
      <c r="AG16" s="20"/>
      <c r="AH16" s="23"/>
      <c r="AI16" s="25" t="s">
        <v>96</v>
      </c>
      <c r="AJ16" s="32" t="s">
        <v>97</v>
      </c>
      <c r="AK16" s="29"/>
    </row>
    <row r="17" ht="14.25" customHeight="1">
      <c r="A17" s="24" t="s">
        <v>98</v>
      </c>
      <c r="B17" s="10" t="s">
        <v>38</v>
      </c>
      <c r="C17" s="11">
        <v>325.0</v>
      </c>
      <c r="D17" s="13"/>
      <c r="E17" s="33">
        <v>17.8</v>
      </c>
      <c r="F17" s="11">
        <v>93.0</v>
      </c>
      <c r="G17" s="13"/>
      <c r="H17" s="13"/>
      <c r="I17" s="13"/>
      <c r="J17" s="14">
        <v>4300.0</v>
      </c>
      <c r="K17" s="13"/>
      <c r="L17" s="13"/>
      <c r="M17" s="14">
        <v>325.0</v>
      </c>
      <c r="O17" s="14">
        <v>2028.0</v>
      </c>
      <c r="P17" s="15">
        <v>13.944</v>
      </c>
      <c r="Q17" s="15">
        <v>105.956</v>
      </c>
      <c r="R17" s="15">
        <v>13.944</v>
      </c>
      <c r="S17" s="15">
        <v>105.956</v>
      </c>
      <c r="T17" s="15">
        <v>13.993611</v>
      </c>
      <c r="U17" s="15">
        <v>105.968056</v>
      </c>
      <c r="V17" s="16"/>
      <c r="W17" s="10" t="s">
        <v>70</v>
      </c>
      <c r="X17" s="10">
        <v>5.0</v>
      </c>
      <c r="Y17" s="10">
        <v>65.0</v>
      </c>
      <c r="Z17" s="10" t="s">
        <v>52</v>
      </c>
      <c r="AA17" s="10" t="s">
        <v>99</v>
      </c>
      <c r="AB17" s="17" t="s">
        <v>42</v>
      </c>
      <c r="AC17" s="11">
        <v>70.0</v>
      </c>
      <c r="AD17" s="14">
        <v>73.0</v>
      </c>
      <c r="AE17" s="18"/>
      <c r="AF17" s="19">
        <v>2020.0</v>
      </c>
      <c r="AG17" s="20"/>
      <c r="AH17" s="23"/>
      <c r="AI17" s="25" t="s">
        <v>100</v>
      </c>
      <c r="AJ17" s="28" t="s">
        <v>101</v>
      </c>
      <c r="AK17" s="29"/>
    </row>
    <row r="18" ht="14.25" customHeight="1">
      <c r="A18" s="9" t="s">
        <v>102</v>
      </c>
      <c r="B18" s="10" t="s">
        <v>38</v>
      </c>
      <c r="C18" s="11">
        <v>10.0</v>
      </c>
      <c r="D18" s="13"/>
      <c r="E18" s="14">
        <v>245.0</v>
      </c>
      <c r="F18" s="14">
        <v>94.0</v>
      </c>
      <c r="G18" s="13"/>
      <c r="H18" s="13"/>
      <c r="I18" s="13"/>
      <c r="J18" s="14">
        <v>4.5</v>
      </c>
      <c r="K18" s="11">
        <v>45.0</v>
      </c>
      <c r="L18" s="14">
        <v>10.0</v>
      </c>
      <c r="M18" s="13"/>
      <c r="N18" s="14">
        <v>40.0</v>
      </c>
      <c r="O18" s="13"/>
      <c r="P18" s="15">
        <v>15.202496</v>
      </c>
      <c r="Q18" s="15">
        <v>106.076336</v>
      </c>
      <c r="R18" s="15">
        <v>15.194694</v>
      </c>
      <c r="S18" s="15">
        <v>106.097685</v>
      </c>
      <c r="T18" s="26"/>
      <c r="U18" s="26"/>
      <c r="V18" s="16"/>
      <c r="W18" s="10" t="s">
        <v>39</v>
      </c>
      <c r="X18" s="10">
        <v>2.0</v>
      </c>
      <c r="Y18" s="10">
        <v>5.0</v>
      </c>
      <c r="Z18" s="10" t="s">
        <v>52</v>
      </c>
      <c r="AA18" s="10" t="s">
        <v>103</v>
      </c>
      <c r="AB18" s="17" t="s">
        <v>42</v>
      </c>
      <c r="AC18" s="13"/>
      <c r="AD18" s="13"/>
      <c r="AE18" s="18"/>
      <c r="AF18" s="19">
        <v>2018.0</v>
      </c>
      <c r="AG18" s="20"/>
      <c r="AH18" s="23"/>
      <c r="AI18" s="25" t="s">
        <v>104</v>
      </c>
      <c r="AJ18" s="23"/>
      <c r="AK18" s="23"/>
    </row>
    <row r="19" ht="14.25" customHeight="1">
      <c r="A19" s="24" t="s">
        <v>105</v>
      </c>
      <c r="B19" s="10" t="s">
        <v>81</v>
      </c>
      <c r="C19" s="11">
        <v>23.0</v>
      </c>
      <c r="D19" s="13"/>
      <c r="E19" s="14">
        <v>148.0</v>
      </c>
      <c r="F19" s="14">
        <v>95.0</v>
      </c>
      <c r="G19" s="13"/>
      <c r="H19" s="13"/>
      <c r="I19" s="13"/>
      <c r="J19" s="11">
        <v>16.5</v>
      </c>
      <c r="K19" s="11">
        <v>114.0</v>
      </c>
      <c r="L19" s="11">
        <v>23.0</v>
      </c>
      <c r="M19" s="13"/>
      <c r="N19" s="14">
        <v>80.0</v>
      </c>
      <c r="O19" s="13"/>
      <c r="P19" s="15">
        <v>15.370444</v>
      </c>
      <c r="Q19" s="15">
        <v>106.296722</v>
      </c>
      <c r="R19" s="15">
        <v>15.341778</v>
      </c>
      <c r="S19" s="15">
        <v>106.311056</v>
      </c>
      <c r="T19" s="26"/>
      <c r="U19" s="26"/>
      <c r="V19" s="16"/>
      <c r="W19" s="10" t="s">
        <v>39</v>
      </c>
      <c r="X19" s="10">
        <v>2.0</v>
      </c>
      <c r="Y19" s="10" t="s">
        <v>106</v>
      </c>
      <c r="Z19" s="10" t="s">
        <v>52</v>
      </c>
      <c r="AA19" s="10" t="s">
        <v>107</v>
      </c>
      <c r="AB19" s="17" t="s">
        <v>75</v>
      </c>
      <c r="AC19" s="14">
        <v>1019.0</v>
      </c>
      <c r="AD19" s="14">
        <v>1022.0</v>
      </c>
      <c r="AE19" s="18"/>
      <c r="AF19" s="19">
        <v>2017.0</v>
      </c>
      <c r="AG19" s="20"/>
      <c r="AH19" s="23"/>
      <c r="AI19" s="25" t="s">
        <v>108</v>
      </c>
      <c r="AJ19" s="25" t="s">
        <v>109</v>
      </c>
      <c r="AK19" s="27"/>
    </row>
    <row r="20" ht="14.25" customHeight="1">
      <c r="A20" s="9" t="s">
        <v>110</v>
      </c>
      <c r="B20" s="10" t="s">
        <v>81</v>
      </c>
      <c r="C20" s="11">
        <v>86.0</v>
      </c>
      <c r="D20" s="13"/>
      <c r="E20" s="14">
        <v>271.0</v>
      </c>
      <c r="F20" s="14">
        <v>95.0</v>
      </c>
      <c r="G20" s="13"/>
      <c r="H20" s="13"/>
      <c r="I20" s="13"/>
      <c r="J20" s="11">
        <v>15.5</v>
      </c>
      <c r="K20" s="11">
        <v>324.0</v>
      </c>
      <c r="L20" s="11">
        <v>86.0</v>
      </c>
      <c r="M20" s="13"/>
      <c r="N20" s="14">
        <v>309.0</v>
      </c>
      <c r="O20" s="13"/>
      <c r="P20" s="15">
        <v>15.487722</v>
      </c>
      <c r="Q20" s="15">
        <v>106.283611</v>
      </c>
      <c r="R20" s="15">
        <v>15.404128</v>
      </c>
      <c r="S20" s="15">
        <v>106.280056</v>
      </c>
      <c r="T20" s="26"/>
      <c r="U20" s="26"/>
      <c r="V20" s="16"/>
      <c r="W20" s="10" t="s">
        <v>39</v>
      </c>
      <c r="X20" s="10">
        <v>4.0</v>
      </c>
      <c r="Y20" s="10" t="s">
        <v>111</v>
      </c>
      <c r="Z20" s="10" t="s">
        <v>52</v>
      </c>
      <c r="AA20" s="10" t="s">
        <v>107</v>
      </c>
      <c r="AB20" s="17" t="s">
        <v>75</v>
      </c>
      <c r="AC20" s="14">
        <v>806.0</v>
      </c>
      <c r="AD20" s="14">
        <v>813.0</v>
      </c>
      <c r="AE20" s="18"/>
      <c r="AF20" s="19">
        <v>2009.0</v>
      </c>
      <c r="AG20" s="20"/>
      <c r="AH20" s="21"/>
      <c r="AI20" s="25" t="s">
        <v>112</v>
      </c>
      <c r="AJ20" s="28" t="s">
        <v>113</v>
      </c>
      <c r="AK20" s="29"/>
    </row>
    <row r="21" ht="14.25" customHeight="1">
      <c r="A21" s="24" t="s">
        <v>114</v>
      </c>
      <c r="B21" s="10" t="s">
        <v>81</v>
      </c>
      <c r="C21" s="11">
        <v>45.0</v>
      </c>
      <c r="D21" s="13"/>
      <c r="E21" s="14">
        <v>157.0</v>
      </c>
      <c r="F21" s="14">
        <v>94.0</v>
      </c>
      <c r="G21" s="13"/>
      <c r="H21" s="13"/>
      <c r="I21" s="13"/>
      <c r="J21" s="14">
        <v>14.0</v>
      </c>
      <c r="K21" s="11">
        <v>325.0</v>
      </c>
      <c r="L21" s="11">
        <v>45.0</v>
      </c>
      <c r="M21" s="13"/>
      <c r="N21" s="14">
        <v>180.0</v>
      </c>
      <c r="O21" s="13"/>
      <c r="P21" s="15">
        <v>15.498861</v>
      </c>
      <c r="Q21" s="15">
        <v>106.280139</v>
      </c>
      <c r="R21" s="15">
        <v>15.486667</v>
      </c>
      <c r="S21" s="15">
        <v>106.2825</v>
      </c>
      <c r="T21" s="26"/>
      <c r="U21" s="26"/>
      <c r="V21" s="16"/>
      <c r="W21" s="10" t="s">
        <v>39</v>
      </c>
      <c r="X21" s="10">
        <v>5.0</v>
      </c>
      <c r="Y21" s="10" t="s">
        <v>115</v>
      </c>
      <c r="Z21" s="10" t="s">
        <v>52</v>
      </c>
      <c r="AA21" s="10" t="s">
        <v>107</v>
      </c>
      <c r="AB21" s="17" t="s">
        <v>75</v>
      </c>
      <c r="AC21" s="14">
        <v>478.0</v>
      </c>
      <c r="AD21" s="14">
        <v>482.0</v>
      </c>
      <c r="AE21" s="18"/>
      <c r="AF21" s="19">
        <v>1990.0</v>
      </c>
      <c r="AG21" s="20"/>
      <c r="AH21" s="23"/>
      <c r="AI21" s="25" t="s">
        <v>116</v>
      </c>
      <c r="AJ21" s="25" t="s">
        <v>117</v>
      </c>
      <c r="AK21" s="27"/>
    </row>
    <row r="22" ht="14.25" customHeight="1">
      <c r="A22" s="9" t="s">
        <v>118</v>
      </c>
      <c r="B22" s="10" t="s">
        <v>119</v>
      </c>
      <c r="C22" s="11">
        <v>15.0</v>
      </c>
      <c r="D22" s="13"/>
      <c r="E22" s="11">
        <v>64.0</v>
      </c>
      <c r="F22" s="14">
        <v>94.0</v>
      </c>
      <c r="G22" s="13"/>
      <c r="H22" s="13"/>
      <c r="I22" s="13"/>
      <c r="J22" s="11">
        <v>5.0</v>
      </c>
      <c r="K22" s="11">
        <v>56.0</v>
      </c>
      <c r="L22" s="13"/>
      <c r="M22" s="11">
        <v>15.0</v>
      </c>
      <c r="N22" s="13"/>
      <c r="O22" s="13"/>
      <c r="P22" s="15">
        <v>15.575363</v>
      </c>
      <c r="Q22" s="15">
        <v>106.223475</v>
      </c>
      <c r="R22" s="34">
        <v>15.543828</v>
      </c>
      <c r="S22" s="34">
        <v>106.260821</v>
      </c>
      <c r="T22" s="26"/>
      <c r="U22" s="26"/>
      <c r="V22" s="16"/>
      <c r="W22" s="10" t="s">
        <v>39</v>
      </c>
      <c r="X22" s="10">
        <v>4.0</v>
      </c>
      <c r="Y22" s="10" t="s">
        <v>120</v>
      </c>
      <c r="Z22" s="10" t="s">
        <v>52</v>
      </c>
      <c r="AA22" s="10" t="s">
        <v>121</v>
      </c>
      <c r="AB22" s="17" t="s">
        <v>42</v>
      </c>
      <c r="AC22" s="14">
        <v>320.0</v>
      </c>
      <c r="AD22" s="14">
        <v>322.5</v>
      </c>
      <c r="AE22" s="18"/>
      <c r="AF22" s="19">
        <v>2018.0</v>
      </c>
      <c r="AG22" s="20"/>
      <c r="AH22" s="23"/>
      <c r="AI22" s="25" t="s">
        <v>122</v>
      </c>
      <c r="AJ22" s="25" t="s">
        <v>123</v>
      </c>
      <c r="AK22" s="27"/>
    </row>
    <row r="23" ht="14.25" customHeight="1">
      <c r="A23" s="20" t="s">
        <v>124</v>
      </c>
      <c r="B23" s="10" t="s">
        <v>81</v>
      </c>
      <c r="C23" s="11">
        <v>13.04</v>
      </c>
      <c r="D23" s="13"/>
      <c r="E23" s="14">
        <v>15.6</v>
      </c>
      <c r="F23" s="14">
        <v>95.0</v>
      </c>
      <c r="G23" s="13"/>
      <c r="H23" s="13"/>
      <c r="I23" s="13"/>
      <c r="J23" s="11">
        <v>35.0</v>
      </c>
      <c r="K23" s="11">
        <v>1220.0</v>
      </c>
      <c r="L23" s="11">
        <v>13.04</v>
      </c>
      <c r="N23" s="13"/>
      <c r="O23" s="13"/>
      <c r="P23" s="15">
        <v>15.354486</v>
      </c>
      <c r="Q23" s="15">
        <v>105.833624</v>
      </c>
      <c r="R23" s="26"/>
      <c r="S23" s="26"/>
      <c r="T23" s="26"/>
      <c r="U23" s="26"/>
      <c r="V23" s="16"/>
      <c r="W23" s="10" t="s">
        <v>125</v>
      </c>
      <c r="X23" s="10">
        <v>6.0</v>
      </c>
      <c r="Y23" s="10" t="s">
        <v>126</v>
      </c>
      <c r="Z23" s="10" t="s">
        <v>52</v>
      </c>
      <c r="AA23" s="10" t="s">
        <v>127</v>
      </c>
      <c r="AB23" s="17" t="s">
        <v>75</v>
      </c>
      <c r="AC23" s="14">
        <v>118.8</v>
      </c>
      <c r="AD23" s="14">
        <v>120.7</v>
      </c>
      <c r="AE23" s="18"/>
      <c r="AF23" s="19">
        <v>1970.0</v>
      </c>
      <c r="AG23" s="20"/>
      <c r="AH23" s="23"/>
      <c r="AI23" s="25" t="s">
        <v>128</v>
      </c>
      <c r="AJ23" s="28" t="s">
        <v>129</v>
      </c>
      <c r="AK23" s="17" t="s">
        <v>130</v>
      </c>
    </row>
    <row r="24" ht="14.25" customHeight="1">
      <c r="A24" s="20" t="s">
        <v>131</v>
      </c>
      <c r="B24" s="10" t="s">
        <v>38</v>
      </c>
      <c r="C24" s="11">
        <v>70.0</v>
      </c>
      <c r="D24" s="13"/>
      <c r="E24" s="14">
        <v>67.5</v>
      </c>
      <c r="F24" s="14">
        <v>94.0</v>
      </c>
      <c r="G24" s="13"/>
      <c r="H24" s="13"/>
      <c r="I24" s="13"/>
      <c r="J24" s="14">
        <v>35.0</v>
      </c>
      <c r="K24" s="11">
        <v>1030.0</v>
      </c>
      <c r="L24" s="13"/>
      <c r="M24" s="11">
        <v>70.0</v>
      </c>
      <c r="N24" s="13"/>
      <c r="O24" s="13"/>
      <c r="P24" s="15">
        <v>16.355732</v>
      </c>
      <c r="Q24" s="35">
        <v>106.237564</v>
      </c>
      <c r="R24" s="26"/>
      <c r="S24" s="26"/>
      <c r="T24" s="26"/>
      <c r="U24" s="26"/>
      <c r="V24" s="16"/>
      <c r="W24" s="10" t="s">
        <v>39</v>
      </c>
      <c r="X24" s="10">
        <v>2.0</v>
      </c>
      <c r="Y24" s="17" t="s">
        <v>132</v>
      </c>
      <c r="Z24" s="10" t="s">
        <v>133</v>
      </c>
      <c r="AA24" s="10" t="s">
        <v>134</v>
      </c>
      <c r="AB24" s="17" t="s">
        <v>42</v>
      </c>
      <c r="AC24" s="14">
        <v>190.0</v>
      </c>
      <c r="AD24" s="11">
        <v>215.0</v>
      </c>
      <c r="AE24" s="18"/>
      <c r="AF24" s="19">
        <v>2020.0</v>
      </c>
      <c r="AG24" s="20"/>
      <c r="AH24" s="23"/>
      <c r="AI24" s="25" t="s">
        <v>135</v>
      </c>
      <c r="AJ24" s="25" t="s">
        <v>136</v>
      </c>
      <c r="AK24" s="21" t="s">
        <v>137</v>
      </c>
    </row>
    <row r="25" ht="21.0" customHeight="1">
      <c r="A25" s="20" t="s">
        <v>138</v>
      </c>
      <c r="B25" s="10" t="s">
        <v>38</v>
      </c>
      <c r="C25" s="36">
        <v>1070.0</v>
      </c>
      <c r="D25" s="12"/>
      <c r="E25" s="37">
        <v>363.0</v>
      </c>
      <c r="F25" s="36">
        <v>95.0</v>
      </c>
      <c r="G25" s="36">
        <v>3900.0</v>
      </c>
      <c r="H25" s="11">
        <v>300.0</v>
      </c>
      <c r="I25" s="36">
        <v>3600.0</v>
      </c>
      <c r="J25" s="13"/>
      <c r="K25" s="36">
        <v>4039.0</v>
      </c>
      <c r="L25" s="36">
        <v>0.0</v>
      </c>
      <c r="M25" s="36">
        <v>1070.0</v>
      </c>
      <c r="N25" s="36">
        <v>200.0</v>
      </c>
      <c r="O25" s="11">
        <v>5300.0</v>
      </c>
      <c r="P25" s="38" t="s">
        <v>139</v>
      </c>
      <c r="Q25" s="39" t="s">
        <v>140</v>
      </c>
      <c r="R25" s="38" t="s">
        <v>141</v>
      </c>
      <c r="S25" s="40" t="s">
        <v>142</v>
      </c>
      <c r="T25" s="13"/>
      <c r="U25" s="13"/>
      <c r="V25" s="16"/>
      <c r="W25" s="41" t="s">
        <v>143</v>
      </c>
      <c r="X25" s="42">
        <v>6.0</v>
      </c>
      <c r="Y25" s="43" t="s">
        <v>144</v>
      </c>
      <c r="Z25" s="10" t="s">
        <v>133</v>
      </c>
      <c r="AA25" s="43" t="s">
        <v>145</v>
      </c>
      <c r="AB25" s="10" t="s">
        <v>42</v>
      </c>
      <c r="AC25" s="13"/>
      <c r="AD25" s="13"/>
      <c r="AE25" s="18"/>
      <c r="AF25" s="44">
        <v>2010.0</v>
      </c>
      <c r="AG25" s="20"/>
      <c r="AH25" s="23"/>
      <c r="AI25" s="45" t="s">
        <v>146</v>
      </c>
      <c r="AJ25" s="46" t="s">
        <v>147</v>
      </c>
      <c r="AK25" s="23"/>
    </row>
    <row r="26" ht="14.25" customHeight="1">
      <c r="A26" s="20" t="s">
        <v>148</v>
      </c>
      <c r="B26" s="10" t="s">
        <v>38</v>
      </c>
      <c r="C26" s="47">
        <v>60.0</v>
      </c>
      <c r="D26" s="13"/>
      <c r="E26" s="47">
        <v>47.0</v>
      </c>
      <c r="F26" s="47">
        <v>95.0</v>
      </c>
      <c r="G26" s="13"/>
      <c r="H26" s="13"/>
      <c r="I26" s="13"/>
      <c r="J26" s="13"/>
      <c r="K26" s="48"/>
      <c r="L26" s="13"/>
      <c r="M26" s="47">
        <v>60.0</v>
      </c>
      <c r="N26" s="48"/>
      <c r="O26" s="13"/>
      <c r="P26" s="38" t="s">
        <v>149</v>
      </c>
      <c r="Q26" s="49" t="s">
        <v>150</v>
      </c>
      <c r="R26" s="38" t="s">
        <v>151</v>
      </c>
      <c r="S26" s="40" t="s">
        <v>152</v>
      </c>
      <c r="T26" s="13"/>
      <c r="U26" s="13"/>
      <c r="V26" s="16"/>
      <c r="W26" s="50" t="s">
        <v>39</v>
      </c>
      <c r="X26" s="51">
        <v>3.0</v>
      </c>
      <c r="Y26" s="52" t="s">
        <v>153</v>
      </c>
      <c r="Z26" s="10" t="s">
        <v>133</v>
      </c>
      <c r="AA26" s="52" t="s">
        <v>154</v>
      </c>
      <c r="AB26" s="10" t="s">
        <v>75</v>
      </c>
      <c r="AC26" s="13"/>
      <c r="AD26" s="13"/>
      <c r="AE26" s="18"/>
      <c r="AF26" s="53">
        <v>2012.0</v>
      </c>
      <c r="AG26" s="20"/>
      <c r="AH26" s="23"/>
      <c r="AI26" s="54" t="s">
        <v>155</v>
      </c>
      <c r="AJ26" s="46" t="s">
        <v>156</v>
      </c>
      <c r="AK26" s="23"/>
    </row>
    <row r="27" ht="14.25" customHeight="1">
      <c r="A27" s="20" t="s">
        <v>157</v>
      </c>
      <c r="B27" s="10" t="s">
        <v>81</v>
      </c>
      <c r="C27" s="36">
        <v>4.2</v>
      </c>
      <c r="D27" s="13"/>
      <c r="E27" s="37">
        <v>128.0</v>
      </c>
      <c r="F27" s="14">
        <v>95.0</v>
      </c>
      <c r="G27" s="55"/>
      <c r="H27" s="13"/>
      <c r="I27" s="55"/>
      <c r="J27" s="13"/>
      <c r="K27" s="55"/>
      <c r="L27" s="36">
        <v>4.2</v>
      </c>
      <c r="M27" s="55"/>
      <c r="N27" s="36">
        <v>19.0</v>
      </c>
      <c r="O27" s="13"/>
      <c r="P27" s="38" t="s">
        <v>158</v>
      </c>
      <c r="Q27" s="56" t="s">
        <v>159</v>
      </c>
      <c r="R27" s="38" t="s">
        <v>160</v>
      </c>
      <c r="S27" s="40" t="s">
        <v>161</v>
      </c>
      <c r="T27" s="13"/>
      <c r="U27" s="13"/>
      <c r="V27" s="16"/>
      <c r="W27" s="41" t="s">
        <v>39</v>
      </c>
      <c r="X27" s="42">
        <v>2.0</v>
      </c>
      <c r="Y27" s="43" t="s">
        <v>162</v>
      </c>
      <c r="Z27" s="10" t="s">
        <v>133</v>
      </c>
      <c r="AA27" s="43" t="s">
        <v>157</v>
      </c>
      <c r="AB27" s="10" t="s">
        <v>42</v>
      </c>
      <c r="AC27" s="13"/>
      <c r="AD27" s="13"/>
      <c r="AE27" s="18"/>
      <c r="AF27" s="57"/>
      <c r="AG27" s="20"/>
      <c r="AH27" s="23"/>
      <c r="AI27" s="45" t="s">
        <v>163</v>
      </c>
      <c r="AJ27" s="58"/>
      <c r="AK27" s="23"/>
    </row>
    <row r="28" ht="14.25" customHeight="1">
      <c r="A28" s="20" t="s">
        <v>164</v>
      </c>
      <c r="B28" s="10" t="s">
        <v>81</v>
      </c>
      <c r="C28" s="47">
        <v>1.7</v>
      </c>
      <c r="D28" s="13"/>
      <c r="E28" s="47">
        <v>62.5</v>
      </c>
      <c r="F28" s="11">
        <v>96.0</v>
      </c>
      <c r="G28" s="13"/>
      <c r="H28" s="13"/>
      <c r="I28" s="13"/>
      <c r="J28" s="13"/>
      <c r="K28" s="48"/>
      <c r="L28" s="47">
        <v>1.7</v>
      </c>
      <c r="M28" s="48"/>
      <c r="N28" s="48"/>
      <c r="O28" s="13"/>
      <c r="P28" s="38" t="s">
        <v>165</v>
      </c>
      <c r="Q28" s="49" t="s">
        <v>166</v>
      </c>
      <c r="R28" s="38" t="s">
        <v>165</v>
      </c>
      <c r="S28" s="40" t="s">
        <v>166</v>
      </c>
      <c r="T28" s="13"/>
      <c r="U28" s="13"/>
      <c r="V28" s="16"/>
      <c r="W28" s="50" t="s">
        <v>39</v>
      </c>
      <c r="X28" s="51">
        <v>2.0</v>
      </c>
      <c r="Y28" s="52" t="s">
        <v>167</v>
      </c>
      <c r="Z28" s="10" t="s">
        <v>133</v>
      </c>
      <c r="AA28" s="52" t="s">
        <v>164</v>
      </c>
      <c r="AB28" s="10" t="s">
        <v>168</v>
      </c>
      <c r="AC28" s="13"/>
      <c r="AD28" s="13"/>
      <c r="AE28" s="18"/>
      <c r="AF28" s="53">
        <v>2011.0</v>
      </c>
      <c r="AG28" s="20"/>
      <c r="AH28" s="23"/>
      <c r="AI28" s="59" t="s">
        <v>169</v>
      </c>
      <c r="AJ28" s="58"/>
      <c r="AK28" s="23"/>
    </row>
    <row r="29" ht="14.25" customHeight="1">
      <c r="A29" s="20" t="s">
        <v>170</v>
      </c>
      <c r="B29" s="10" t="s">
        <v>38</v>
      </c>
      <c r="C29" s="36">
        <v>650.0</v>
      </c>
      <c r="D29" s="13"/>
      <c r="E29" s="37">
        <v>140.0</v>
      </c>
      <c r="F29" s="11">
        <v>96.0</v>
      </c>
      <c r="G29" s="36">
        <v>3000.0</v>
      </c>
      <c r="H29" s="13"/>
      <c r="I29" s="36">
        <v>2000.0</v>
      </c>
      <c r="J29" s="13"/>
      <c r="K29" s="36">
        <v>13856.0</v>
      </c>
      <c r="L29" s="36">
        <v>130.0</v>
      </c>
      <c r="M29" s="36">
        <v>520.0</v>
      </c>
      <c r="O29" s="13"/>
      <c r="P29" s="38" t="s">
        <v>171</v>
      </c>
      <c r="Q29" s="56" t="s">
        <v>172</v>
      </c>
      <c r="R29" s="38" t="s">
        <v>171</v>
      </c>
      <c r="S29" s="40" t="s">
        <v>172</v>
      </c>
      <c r="T29" s="13"/>
      <c r="U29" s="13"/>
      <c r="V29" s="16"/>
      <c r="W29" s="41" t="s">
        <v>39</v>
      </c>
      <c r="X29" s="42">
        <v>3.0</v>
      </c>
      <c r="Y29" s="43" t="s">
        <v>173</v>
      </c>
      <c r="Z29" s="10" t="s">
        <v>133</v>
      </c>
      <c r="AA29" s="43" t="s">
        <v>174</v>
      </c>
      <c r="AB29" s="10" t="s">
        <v>42</v>
      </c>
      <c r="AC29" s="13"/>
      <c r="AD29" s="13"/>
      <c r="AE29" s="18"/>
      <c r="AF29" s="44">
        <v>2022.0</v>
      </c>
      <c r="AG29" s="20"/>
      <c r="AH29" s="23"/>
      <c r="AI29" s="45" t="s">
        <v>175</v>
      </c>
      <c r="AJ29" s="58"/>
      <c r="AK29" s="23"/>
    </row>
    <row r="30" ht="14.25" customHeight="1">
      <c r="A30" s="20" t="s">
        <v>176</v>
      </c>
      <c r="B30" s="10" t="s">
        <v>38</v>
      </c>
      <c r="C30" s="47">
        <v>520.0</v>
      </c>
      <c r="D30" s="13"/>
      <c r="E30" s="47">
        <v>235.0</v>
      </c>
      <c r="F30" s="11">
        <v>94.0</v>
      </c>
      <c r="G30" s="13"/>
      <c r="H30" s="13"/>
      <c r="I30" s="13"/>
      <c r="J30" s="13"/>
      <c r="K30" s="13"/>
      <c r="L30" s="47">
        <v>60.0</v>
      </c>
      <c r="M30" s="47">
        <v>460.0</v>
      </c>
      <c r="N30" s="48"/>
      <c r="O30" s="13"/>
      <c r="P30" s="38" t="s">
        <v>149</v>
      </c>
      <c r="Q30" s="49" t="s">
        <v>150</v>
      </c>
      <c r="R30" s="38" t="s">
        <v>177</v>
      </c>
      <c r="S30" s="40" t="s">
        <v>178</v>
      </c>
      <c r="T30" s="13"/>
      <c r="U30" s="13"/>
      <c r="V30" s="16"/>
      <c r="W30" s="50" t="s">
        <v>39</v>
      </c>
      <c r="X30" s="51">
        <v>5.0</v>
      </c>
      <c r="Y30" s="52" t="s">
        <v>179</v>
      </c>
      <c r="Z30" s="10" t="s">
        <v>133</v>
      </c>
      <c r="AA30" s="52" t="s">
        <v>180</v>
      </c>
      <c r="AB30" s="10" t="s">
        <v>75</v>
      </c>
      <c r="AC30" s="13"/>
      <c r="AD30" s="13"/>
      <c r="AE30" s="18"/>
      <c r="AF30" s="53">
        <v>1998.0</v>
      </c>
      <c r="AG30" s="20"/>
      <c r="AH30" s="23"/>
      <c r="AI30" s="59" t="s">
        <v>155</v>
      </c>
      <c r="AJ30" s="46" t="s">
        <v>156</v>
      </c>
      <c r="AK30" s="23"/>
    </row>
    <row r="31" ht="14.25" customHeight="1">
      <c r="A31" s="20" t="s">
        <v>181</v>
      </c>
      <c r="B31" s="10" t="s">
        <v>81</v>
      </c>
      <c r="C31" s="36">
        <v>30.0</v>
      </c>
      <c r="D31" s="13"/>
      <c r="E31" s="60"/>
      <c r="F31" s="14">
        <v>93.0</v>
      </c>
      <c r="G31" s="55"/>
      <c r="H31" s="13"/>
      <c r="I31" s="36">
        <v>25.6</v>
      </c>
      <c r="J31" s="13"/>
      <c r="K31" s="13"/>
      <c r="L31" s="36">
        <v>30.0</v>
      </c>
      <c r="M31" s="55"/>
      <c r="N31" s="36">
        <v>155.0</v>
      </c>
      <c r="O31" s="13"/>
      <c r="P31" s="38" t="s">
        <v>182</v>
      </c>
      <c r="Q31" s="56" t="s">
        <v>183</v>
      </c>
      <c r="R31" s="38" t="s">
        <v>182</v>
      </c>
      <c r="S31" s="40" t="s">
        <v>183</v>
      </c>
      <c r="T31" s="13"/>
      <c r="U31" s="13"/>
      <c r="V31" s="16"/>
      <c r="W31" s="41" t="s">
        <v>39</v>
      </c>
      <c r="X31" s="42">
        <v>2.0</v>
      </c>
      <c r="Y31" s="43" t="s">
        <v>184</v>
      </c>
      <c r="Z31" s="10" t="s">
        <v>133</v>
      </c>
      <c r="AA31" s="43" t="s">
        <v>185</v>
      </c>
      <c r="AB31" s="10" t="s">
        <v>75</v>
      </c>
      <c r="AC31" s="13"/>
      <c r="AD31" s="13"/>
      <c r="AE31" s="18"/>
      <c r="AF31" s="57"/>
      <c r="AG31" s="20"/>
      <c r="AH31" s="23"/>
      <c r="AI31" s="45" t="s">
        <v>186</v>
      </c>
      <c r="AJ31" s="58"/>
      <c r="AK31" s="23"/>
    </row>
    <row r="32" ht="14.25" customHeight="1">
      <c r="A32" s="20" t="s">
        <v>187</v>
      </c>
      <c r="B32" s="10" t="s">
        <v>81</v>
      </c>
      <c r="C32" s="48"/>
      <c r="D32" s="13"/>
      <c r="E32" s="48"/>
      <c r="F32" s="14">
        <v>95.0</v>
      </c>
      <c r="G32" s="13"/>
      <c r="H32" s="13"/>
      <c r="I32" s="13"/>
      <c r="J32" s="13"/>
      <c r="K32" s="13"/>
      <c r="L32" s="48"/>
      <c r="M32" s="48"/>
      <c r="N32" s="48"/>
      <c r="O32" s="13"/>
      <c r="P32" s="38" t="s">
        <v>188</v>
      </c>
      <c r="Q32" s="61" t="s">
        <v>189</v>
      </c>
      <c r="R32" s="38" t="s">
        <v>188</v>
      </c>
      <c r="S32" s="40" t="s">
        <v>189</v>
      </c>
      <c r="T32" s="13"/>
      <c r="U32" s="13"/>
      <c r="V32" s="16"/>
      <c r="W32" s="62"/>
      <c r="X32" s="63"/>
      <c r="Y32" s="63"/>
      <c r="Z32" s="10" t="s">
        <v>40</v>
      </c>
      <c r="AA32" s="52" t="s">
        <v>185</v>
      </c>
      <c r="AB32" s="10" t="s">
        <v>75</v>
      </c>
      <c r="AC32" s="13"/>
      <c r="AD32" s="13"/>
      <c r="AE32" s="18"/>
      <c r="AF32" s="64"/>
      <c r="AG32" s="20"/>
      <c r="AH32" s="23"/>
      <c r="AI32" s="59" t="s">
        <v>190</v>
      </c>
      <c r="AJ32" s="58"/>
      <c r="AK32" s="23"/>
    </row>
    <row r="33" ht="14.25" customHeight="1">
      <c r="A33" s="20" t="s">
        <v>191</v>
      </c>
      <c r="B33" s="10" t="s">
        <v>38</v>
      </c>
      <c r="C33" s="36">
        <v>69.0</v>
      </c>
      <c r="D33" s="12"/>
      <c r="E33" s="60"/>
      <c r="F33" s="14">
        <v>94.0</v>
      </c>
      <c r="G33" s="55"/>
      <c r="H33" s="13"/>
      <c r="I33" s="13"/>
      <c r="J33" s="13"/>
      <c r="K33" s="13"/>
      <c r="L33" s="55"/>
      <c r="M33" s="36">
        <v>69.0</v>
      </c>
      <c r="N33" s="55"/>
      <c r="O33" s="37">
        <v>364.0</v>
      </c>
      <c r="P33" s="38" t="s">
        <v>192</v>
      </c>
      <c r="Q33" s="56" t="s">
        <v>193</v>
      </c>
      <c r="R33" s="38" t="s">
        <v>194</v>
      </c>
      <c r="S33" s="40" t="s">
        <v>195</v>
      </c>
      <c r="T33" s="13"/>
      <c r="U33" s="13"/>
      <c r="V33" s="16"/>
      <c r="W33" s="41" t="s">
        <v>73</v>
      </c>
      <c r="X33" s="42">
        <v>2.0</v>
      </c>
      <c r="Y33" s="43" t="s">
        <v>196</v>
      </c>
      <c r="Z33" s="10" t="s">
        <v>40</v>
      </c>
      <c r="AA33" s="43" t="s">
        <v>197</v>
      </c>
      <c r="AB33" s="10" t="s">
        <v>42</v>
      </c>
      <c r="AC33" s="13"/>
      <c r="AD33" s="13"/>
      <c r="AE33" s="18"/>
      <c r="AF33" s="44">
        <v>2016.0</v>
      </c>
      <c r="AG33" s="20"/>
      <c r="AH33" s="23"/>
      <c r="AI33" s="45" t="s">
        <v>198</v>
      </c>
      <c r="AJ33" s="46" t="s">
        <v>199</v>
      </c>
      <c r="AK33" s="23"/>
    </row>
    <row r="34" ht="14.25" customHeight="1">
      <c r="A34" s="20" t="s">
        <v>200</v>
      </c>
      <c r="B34" s="10" t="s">
        <v>38</v>
      </c>
      <c r="C34" s="47">
        <v>45.0</v>
      </c>
      <c r="D34" s="12"/>
      <c r="E34" s="48"/>
      <c r="F34" s="14">
        <v>96.0</v>
      </c>
      <c r="G34" s="13"/>
      <c r="H34" s="13"/>
      <c r="I34" s="13"/>
      <c r="J34" s="13"/>
      <c r="K34" s="13"/>
      <c r="L34" s="48"/>
      <c r="M34" s="47">
        <v>45.0</v>
      </c>
      <c r="N34" s="48"/>
      <c r="O34" s="47">
        <v>232.0</v>
      </c>
      <c r="P34" s="38" t="s">
        <v>201</v>
      </c>
      <c r="Q34" s="49" t="s">
        <v>202</v>
      </c>
      <c r="R34" s="38" t="s">
        <v>203</v>
      </c>
      <c r="S34" s="40" t="s">
        <v>204</v>
      </c>
      <c r="T34" s="13"/>
      <c r="U34" s="13"/>
      <c r="V34" s="16"/>
      <c r="W34" s="50" t="s">
        <v>39</v>
      </c>
      <c r="X34" s="51">
        <v>2.0</v>
      </c>
      <c r="Y34" s="52" t="s">
        <v>205</v>
      </c>
      <c r="Z34" s="10" t="s">
        <v>40</v>
      </c>
      <c r="AA34" s="52" t="s">
        <v>197</v>
      </c>
      <c r="AB34" s="10" t="s">
        <v>42</v>
      </c>
      <c r="AC34" s="13"/>
      <c r="AD34" s="13"/>
      <c r="AE34" s="18"/>
      <c r="AF34" s="53">
        <v>2015.0</v>
      </c>
      <c r="AG34" s="20"/>
      <c r="AH34" s="23"/>
      <c r="AI34" s="59" t="s">
        <v>198</v>
      </c>
      <c r="AJ34" s="46" t="s">
        <v>199</v>
      </c>
      <c r="AK34" s="23"/>
    </row>
    <row r="35" ht="14.25" customHeight="1">
      <c r="A35" s="20" t="s">
        <v>206</v>
      </c>
      <c r="B35" s="10" t="s">
        <v>81</v>
      </c>
      <c r="C35" s="55"/>
      <c r="D35" s="13"/>
      <c r="E35" s="60"/>
      <c r="F35" s="14">
        <v>95.0</v>
      </c>
      <c r="G35" s="55"/>
      <c r="H35" s="13"/>
      <c r="I35" s="13"/>
      <c r="J35" s="13"/>
      <c r="K35" s="13"/>
      <c r="L35" s="55"/>
      <c r="M35" s="55"/>
      <c r="N35" s="55"/>
      <c r="O35" s="13"/>
      <c r="P35" s="65"/>
      <c r="Q35" s="66"/>
      <c r="R35" s="65"/>
      <c r="S35" s="67"/>
      <c r="T35" s="13"/>
      <c r="U35" s="13"/>
      <c r="V35" s="16"/>
      <c r="W35" s="68"/>
      <c r="X35" s="69"/>
      <c r="Y35" s="70"/>
      <c r="Z35" s="10" t="s">
        <v>40</v>
      </c>
      <c r="AA35" s="43" t="s">
        <v>206</v>
      </c>
      <c r="AB35" s="20"/>
      <c r="AC35" s="13"/>
      <c r="AD35" s="13"/>
      <c r="AE35" s="18"/>
      <c r="AF35" s="57"/>
      <c r="AG35" s="20"/>
      <c r="AH35" s="23"/>
      <c r="AI35" s="71"/>
      <c r="AJ35" s="46" t="s">
        <v>199</v>
      </c>
      <c r="AK35" s="23"/>
    </row>
    <row r="36" ht="14.25" customHeight="1">
      <c r="A36" s="20" t="s">
        <v>207</v>
      </c>
      <c r="B36" s="10" t="s">
        <v>81</v>
      </c>
      <c r="C36" s="47">
        <v>5.0</v>
      </c>
      <c r="D36" s="13"/>
      <c r="E36" s="48"/>
      <c r="F36" s="14">
        <v>95.0</v>
      </c>
      <c r="G36" s="13"/>
      <c r="H36" s="13"/>
      <c r="I36" s="13"/>
      <c r="J36" s="13"/>
      <c r="K36" s="13"/>
      <c r="L36" s="47">
        <v>5.0</v>
      </c>
      <c r="M36" s="13"/>
      <c r="N36" s="47">
        <v>25.0</v>
      </c>
      <c r="O36" s="13"/>
      <c r="P36" s="38" t="s">
        <v>208</v>
      </c>
      <c r="Q36" s="49" t="s">
        <v>209</v>
      </c>
      <c r="R36" s="38" t="s">
        <v>210</v>
      </c>
      <c r="S36" s="40" t="s">
        <v>211</v>
      </c>
      <c r="T36" s="13"/>
      <c r="U36" s="13"/>
      <c r="V36" s="16"/>
      <c r="W36" s="62"/>
      <c r="X36" s="51">
        <v>1.0</v>
      </c>
      <c r="Y36" s="63"/>
      <c r="Z36" s="10" t="s">
        <v>40</v>
      </c>
      <c r="AA36" s="52" t="s">
        <v>212</v>
      </c>
      <c r="AB36" s="10" t="s">
        <v>42</v>
      </c>
      <c r="AC36" s="13"/>
      <c r="AD36" s="13"/>
      <c r="AE36" s="18"/>
      <c r="AF36" s="53">
        <v>2014.0</v>
      </c>
      <c r="AG36" s="20"/>
      <c r="AH36" s="23"/>
      <c r="AI36" s="59" t="s">
        <v>213</v>
      </c>
      <c r="AJ36" s="23"/>
      <c r="AK36" s="23"/>
    </row>
    <row r="37" ht="14.25" customHeight="1">
      <c r="A37" s="20" t="s">
        <v>214</v>
      </c>
      <c r="B37" s="10" t="s">
        <v>38</v>
      </c>
      <c r="C37" s="36">
        <v>44.0</v>
      </c>
      <c r="D37" s="13"/>
      <c r="E37" s="60"/>
      <c r="F37" s="11">
        <v>93.0</v>
      </c>
      <c r="G37" s="55"/>
      <c r="H37" s="13"/>
      <c r="I37" s="13"/>
      <c r="J37" s="13"/>
      <c r="K37" s="13"/>
      <c r="L37" s="36">
        <v>44.0</v>
      </c>
      <c r="M37" s="13"/>
      <c r="N37" s="36">
        <v>153.0</v>
      </c>
      <c r="O37" s="13"/>
      <c r="P37" s="38" t="s">
        <v>215</v>
      </c>
      <c r="Q37" s="56" t="s">
        <v>216</v>
      </c>
      <c r="R37" s="38" t="s">
        <v>217</v>
      </c>
      <c r="S37" s="40" t="s">
        <v>218</v>
      </c>
      <c r="T37" s="13"/>
      <c r="U37" s="13"/>
      <c r="V37" s="16"/>
      <c r="W37" s="41" t="s">
        <v>39</v>
      </c>
      <c r="X37" s="42">
        <v>5.0</v>
      </c>
      <c r="Y37" s="43" t="s">
        <v>219</v>
      </c>
      <c r="Z37" s="10" t="s">
        <v>40</v>
      </c>
      <c r="AA37" s="43" t="s">
        <v>220</v>
      </c>
      <c r="AB37" s="10" t="s">
        <v>42</v>
      </c>
      <c r="AC37" s="13"/>
      <c r="AD37" s="13"/>
      <c r="AE37" s="18"/>
      <c r="AF37" s="44">
        <v>2014.0</v>
      </c>
      <c r="AG37" s="20"/>
      <c r="AH37" s="23"/>
      <c r="AI37" s="45" t="s">
        <v>221</v>
      </c>
      <c r="AJ37" s="23"/>
      <c r="AK37" s="23"/>
    </row>
    <row r="38" ht="14.25" customHeight="1">
      <c r="A38" s="20" t="s">
        <v>222</v>
      </c>
      <c r="B38" s="10" t="s">
        <v>38</v>
      </c>
      <c r="C38" s="47">
        <v>180.0</v>
      </c>
      <c r="D38" s="13"/>
      <c r="E38" s="48"/>
      <c r="F38" s="14">
        <v>94.0</v>
      </c>
      <c r="G38" s="47">
        <v>163.0</v>
      </c>
      <c r="H38" s="13"/>
      <c r="I38" s="13"/>
      <c r="J38" s="13"/>
      <c r="K38" s="72">
        <v>693.0</v>
      </c>
      <c r="L38" s="47">
        <v>180.0</v>
      </c>
      <c r="M38" s="13"/>
      <c r="N38" s="47">
        <v>723.0</v>
      </c>
      <c r="O38" s="13"/>
      <c r="P38" s="38" t="s">
        <v>223</v>
      </c>
      <c r="Q38" s="49" t="s">
        <v>224</v>
      </c>
      <c r="R38" s="38" t="s">
        <v>225</v>
      </c>
      <c r="S38" s="40" t="s">
        <v>226</v>
      </c>
      <c r="T38" s="13"/>
      <c r="U38" s="13"/>
      <c r="V38" s="16"/>
      <c r="W38" s="50" t="s">
        <v>39</v>
      </c>
      <c r="X38" s="51">
        <v>3.0</v>
      </c>
      <c r="Y38" s="52" t="s">
        <v>227</v>
      </c>
      <c r="Z38" s="10" t="s">
        <v>40</v>
      </c>
      <c r="AA38" s="52" t="s">
        <v>228</v>
      </c>
      <c r="AB38" s="10" t="s">
        <v>42</v>
      </c>
      <c r="AC38" s="13"/>
      <c r="AD38" s="13"/>
      <c r="AE38" s="18"/>
      <c r="AF38" s="53">
        <v>2015.0</v>
      </c>
      <c r="AG38" s="20"/>
      <c r="AH38" s="23"/>
      <c r="AI38" s="59" t="s">
        <v>229</v>
      </c>
      <c r="AJ38" s="23"/>
      <c r="AK38" s="23"/>
    </row>
    <row r="39" ht="14.25" customHeight="1">
      <c r="A39" s="20" t="s">
        <v>230</v>
      </c>
      <c r="B39" s="10" t="s">
        <v>81</v>
      </c>
      <c r="C39" s="36">
        <v>14.5</v>
      </c>
      <c r="D39" s="13"/>
      <c r="E39" s="37">
        <v>356.0</v>
      </c>
      <c r="F39" s="14">
        <v>95.0</v>
      </c>
      <c r="G39" s="55"/>
      <c r="H39" s="13"/>
      <c r="I39" s="13"/>
      <c r="J39" s="13"/>
      <c r="K39" s="55"/>
      <c r="L39" s="36">
        <v>14.5</v>
      </c>
      <c r="M39" s="13"/>
      <c r="N39" s="36">
        <v>58.0</v>
      </c>
      <c r="O39" s="13"/>
      <c r="P39" s="38" t="s">
        <v>231</v>
      </c>
      <c r="Q39" s="56" t="s">
        <v>232</v>
      </c>
      <c r="R39" s="38" t="s">
        <v>231</v>
      </c>
      <c r="S39" s="40" t="s">
        <v>232</v>
      </c>
      <c r="T39" s="13"/>
      <c r="U39" s="13"/>
      <c r="V39" s="16"/>
      <c r="W39" s="41" t="s">
        <v>73</v>
      </c>
      <c r="X39" s="42">
        <v>2.0</v>
      </c>
      <c r="Y39" s="43" t="s">
        <v>233</v>
      </c>
      <c r="Z39" s="10" t="s">
        <v>40</v>
      </c>
      <c r="AA39" s="43" t="s">
        <v>220</v>
      </c>
      <c r="AB39" s="10" t="s">
        <v>42</v>
      </c>
      <c r="AC39" s="13"/>
      <c r="AD39" s="13"/>
      <c r="AE39" s="18"/>
      <c r="AF39" s="44">
        <v>2017.0</v>
      </c>
      <c r="AG39" s="20"/>
      <c r="AH39" s="23"/>
      <c r="AI39" s="45" t="s">
        <v>234</v>
      </c>
      <c r="AJ39" s="23"/>
      <c r="AK39" s="23"/>
    </row>
    <row r="40" ht="14.25" customHeight="1">
      <c r="A40" s="20" t="s">
        <v>235</v>
      </c>
      <c r="B40" s="10" t="s">
        <v>81</v>
      </c>
      <c r="C40" s="47">
        <v>18.0</v>
      </c>
      <c r="D40" s="73"/>
      <c r="E40" s="48"/>
      <c r="F40" s="14">
        <v>95.0</v>
      </c>
      <c r="G40" s="13"/>
      <c r="H40" s="13"/>
      <c r="I40" s="13"/>
      <c r="J40" s="13"/>
      <c r="K40" s="72">
        <v>878.0</v>
      </c>
      <c r="L40" s="47">
        <v>18.0</v>
      </c>
      <c r="M40" s="13"/>
      <c r="N40" s="47">
        <v>76.0</v>
      </c>
      <c r="O40" s="13"/>
      <c r="P40" s="38" t="s">
        <v>236</v>
      </c>
      <c r="Q40" s="49" t="s">
        <v>237</v>
      </c>
      <c r="R40" s="38" t="s">
        <v>238</v>
      </c>
      <c r="S40" s="40" t="s">
        <v>239</v>
      </c>
      <c r="T40" s="13"/>
      <c r="U40" s="13"/>
      <c r="V40" s="16"/>
      <c r="W40" s="50" t="s">
        <v>39</v>
      </c>
      <c r="X40" s="51">
        <v>3.0</v>
      </c>
      <c r="Y40" s="52" t="s">
        <v>240</v>
      </c>
      <c r="Z40" s="10" t="s">
        <v>40</v>
      </c>
      <c r="AA40" s="52" t="s">
        <v>220</v>
      </c>
      <c r="AB40" s="10" t="s">
        <v>42</v>
      </c>
      <c r="AC40" s="13"/>
      <c r="AD40" s="13"/>
      <c r="AE40" s="18"/>
      <c r="AF40" s="53">
        <v>2018.0</v>
      </c>
      <c r="AG40" s="20"/>
      <c r="AH40" s="23"/>
      <c r="AI40" s="59" t="s">
        <v>241</v>
      </c>
      <c r="AJ40" s="23"/>
      <c r="AK40" s="23"/>
    </row>
    <row r="41" ht="14.25" customHeight="1">
      <c r="A41" s="20" t="s">
        <v>242</v>
      </c>
      <c r="B41" s="10" t="s">
        <v>81</v>
      </c>
      <c r="C41" s="36">
        <v>10.5</v>
      </c>
      <c r="D41" s="13"/>
      <c r="E41" s="60"/>
      <c r="F41" s="11">
        <v>95.0</v>
      </c>
      <c r="G41" s="55"/>
      <c r="H41" s="13"/>
      <c r="I41" s="13"/>
      <c r="J41" s="13"/>
      <c r="K41" s="36"/>
      <c r="L41" s="36">
        <v>10.5</v>
      </c>
      <c r="M41" s="13"/>
      <c r="N41" s="36">
        <v>52.0</v>
      </c>
      <c r="O41" s="13"/>
      <c r="P41" s="38" t="s">
        <v>243</v>
      </c>
      <c r="Q41" s="56" t="s">
        <v>244</v>
      </c>
      <c r="R41" s="38" t="s">
        <v>245</v>
      </c>
      <c r="S41" s="40" t="s">
        <v>246</v>
      </c>
      <c r="T41" s="13"/>
      <c r="U41" s="13"/>
      <c r="V41" s="16"/>
      <c r="W41" s="41" t="s">
        <v>39</v>
      </c>
      <c r="X41" s="42">
        <v>3.0</v>
      </c>
      <c r="Y41" s="43" t="s">
        <v>247</v>
      </c>
      <c r="Z41" s="10" t="s">
        <v>40</v>
      </c>
      <c r="AA41" s="43" t="s">
        <v>220</v>
      </c>
      <c r="AB41" s="10" t="s">
        <v>42</v>
      </c>
      <c r="AC41" s="13"/>
      <c r="AD41" s="13"/>
      <c r="AE41" s="18"/>
      <c r="AF41" s="57"/>
      <c r="AG41" s="20"/>
      <c r="AH41" s="23"/>
      <c r="AI41" s="45" t="s">
        <v>248</v>
      </c>
      <c r="AJ41" s="23"/>
      <c r="AK41" s="23"/>
    </row>
    <row r="42" ht="14.25" customHeight="1">
      <c r="A42" s="20" t="s">
        <v>249</v>
      </c>
      <c r="B42" s="10" t="s">
        <v>38</v>
      </c>
      <c r="C42" s="47">
        <v>104.0</v>
      </c>
      <c r="D42" s="13"/>
      <c r="E42" s="74">
        <v>533.0</v>
      </c>
      <c r="F42" s="11">
        <v>96.0</v>
      </c>
      <c r="G42" s="47">
        <v>14.0</v>
      </c>
      <c r="H42" s="13"/>
      <c r="I42" s="13"/>
      <c r="J42" s="13"/>
      <c r="K42" s="47">
        <v>322.0</v>
      </c>
      <c r="L42" s="47">
        <v>104.0</v>
      </c>
      <c r="M42" s="13"/>
      <c r="N42" s="47">
        <v>451.0</v>
      </c>
      <c r="O42" s="13"/>
      <c r="P42" s="38" t="s">
        <v>250</v>
      </c>
      <c r="Q42" s="49" t="s">
        <v>251</v>
      </c>
      <c r="R42" s="38" t="s">
        <v>252</v>
      </c>
      <c r="S42" s="40" t="s">
        <v>253</v>
      </c>
      <c r="T42" s="13"/>
      <c r="U42" s="13"/>
      <c r="V42" s="16"/>
      <c r="W42" s="50" t="s">
        <v>254</v>
      </c>
      <c r="X42" s="51">
        <v>2.0</v>
      </c>
      <c r="Y42" s="52" t="s">
        <v>255</v>
      </c>
      <c r="Z42" s="10" t="s">
        <v>40</v>
      </c>
      <c r="AA42" s="52" t="s">
        <v>249</v>
      </c>
      <c r="AB42" s="10" t="s">
        <v>256</v>
      </c>
      <c r="AC42" s="13"/>
      <c r="AD42" s="13"/>
      <c r="AE42" s="18"/>
      <c r="AF42" s="53">
        <v>2018.0</v>
      </c>
      <c r="AG42" s="20"/>
      <c r="AH42" s="23"/>
      <c r="AI42" s="59" t="s">
        <v>257</v>
      </c>
      <c r="AJ42" s="23"/>
      <c r="AK42" s="23"/>
    </row>
    <row r="43" ht="14.25" customHeight="1">
      <c r="A43" s="20" t="s">
        <v>258</v>
      </c>
      <c r="B43" s="10" t="s">
        <v>81</v>
      </c>
      <c r="C43" s="36">
        <v>16.8</v>
      </c>
      <c r="D43" s="13"/>
      <c r="E43" s="75">
        <v>300.0</v>
      </c>
      <c r="F43" s="11">
        <v>94.0</v>
      </c>
      <c r="G43" s="55"/>
      <c r="H43" s="13"/>
      <c r="I43" s="13"/>
      <c r="J43" s="13"/>
      <c r="K43" s="55"/>
      <c r="L43" s="36">
        <v>16.8</v>
      </c>
      <c r="M43" s="13"/>
      <c r="N43" s="36">
        <v>68.4</v>
      </c>
      <c r="O43" s="13"/>
      <c r="P43" s="38" t="s">
        <v>259</v>
      </c>
      <c r="Q43" s="56" t="s">
        <v>260</v>
      </c>
      <c r="R43" s="38" t="s">
        <v>261</v>
      </c>
      <c r="S43" s="40" t="s">
        <v>262</v>
      </c>
      <c r="T43" s="13"/>
      <c r="U43" s="13"/>
      <c r="V43" s="16"/>
      <c r="W43" s="41" t="s">
        <v>263</v>
      </c>
      <c r="X43" s="42">
        <v>2.0</v>
      </c>
      <c r="Y43" s="43" t="s">
        <v>264</v>
      </c>
      <c r="Z43" s="10" t="s">
        <v>40</v>
      </c>
      <c r="AA43" s="43" t="s">
        <v>258</v>
      </c>
      <c r="AB43" s="10" t="s">
        <v>42</v>
      </c>
      <c r="AC43" s="13"/>
      <c r="AD43" s="13"/>
      <c r="AE43" s="18"/>
      <c r="AF43" s="44">
        <v>2019.0</v>
      </c>
      <c r="AG43" s="20"/>
      <c r="AH43" s="23"/>
      <c r="AI43" s="45" t="s">
        <v>265</v>
      </c>
      <c r="AJ43" s="23"/>
      <c r="AK43" s="23"/>
    </row>
    <row r="44" ht="14.25" customHeight="1">
      <c r="A44" s="20" t="s">
        <v>266</v>
      </c>
      <c r="B44" s="10" t="s">
        <v>38</v>
      </c>
      <c r="C44" s="47">
        <v>15.0</v>
      </c>
      <c r="D44" s="12"/>
      <c r="E44" s="76">
        <v>700.0</v>
      </c>
      <c r="F44" s="14">
        <v>95.0</v>
      </c>
      <c r="G44" s="48"/>
      <c r="H44" s="13"/>
      <c r="I44" s="13"/>
      <c r="J44" s="13"/>
      <c r="K44" s="13"/>
      <c r="L44" s="47">
        <v>15.0</v>
      </c>
      <c r="M44" s="13"/>
      <c r="N44" s="47">
        <v>60.0</v>
      </c>
      <c r="O44" s="13"/>
      <c r="P44" s="38" t="s">
        <v>267</v>
      </c>
      <c r="Q44" s="49" t="s">
        <v>268</v>
      </c>
      <c r="R44" s="38" t="s">
        <v>269</v>
      </c>
      <c r="S44" s="40" t="s">
        <v>270</v>
      </c>
      <c r="T44" s="13"/>
      <c r="U44" s="13"/>
      <c r="V44" s="16"/>
      <c r="W44" s="62"/>
      <c r="X44" s="63"/>
      <c r="Y44" s="63"/>
      <c r="Z44" s="10" t="s">
        <v>40</v>
      </c>
      <c r="AA44" s="52" t="s">
        <v>271</v>
      </c>
      <c r="AB44" s="10" t="s">
        <v>42</v>
      </c>
      <c r="AC44" s="13"/>
      <c r="AD44" s="13"/>
      <c r="AE44" s="18"/>
      <c r="AF44" s="64"/>
      <c r="AG44" s="20"/>
      <c r="AH44" s="23"/>
      <c r="AI44" s="59" t="s">
        <v>272</v>
      </c>
      <c r="AJ44" s="23"/>
      <c r="AK44" s="23"/>
    </row>
    <row r="45" ht="14.25" customHeight="1">
      <c r="A45" s="20" t="s">
        <v>273</v>
      </c>
      <c r="B45" s="10" t="s">
        <v>38</v>
      </c>
      <c r="C45" s="36">
        <v>290.0</v>
      </c>
      <c r="D45" s="13"/>
      <c r="E45" s="75">
        <v>130.0</v>
      </c>
      <c r="F45" s="14">
        <v>95.0</v>
      </c>
      <c r="G45" s="36">
        <v>1200.0</v>
      </c>
      <c r="H45" s="13"/>
      <c r="I45" s="36"/>
      <c r="J45" s="13"/>
      <c r="K45" s="55"/>
      <c r="L45" s="36">
        <v>18.0</v>
      </c>
      <c r="M45" s="36">
        <v>272.0</v>
      </c>
      <c r="N45" s="55"/>
      <c r="O45" s="13"/>
      <c r="P45" s="38" t="s">
        <v>274</v>
      </c>
      <c r="Q45" s="56" t="s">
        <v>275</v>
      </c>
      <c r="R45" s="38" t="s">
        <v>274</v>
      </c>
      <c r="S45" s="40" t="s">
        <v>275</v>
      </c>
      <c r="T45" s="13"/>
      <c r="U45" s="13"/>
      <c r="V45" s="16"/>
      <c r="W45" s="41" t="s">
        <v>263</v>
      </c>
      <c r="X45" s="42">
        <v>3.0</v>
      </c>
      <c r="Y45" s="43" t="s">
        <v>276</v>
      </c>
      <c r="Z45" s="10" t="s">
        <v>133</v>
      </c>
      <c r="AA45" s="43" t="s">
        <v>220</v>
      </c>
      <c r="AB45" s="10" t="s">
        <v>42</v>
      </c>
      <c r="AC45" s="13"/>
      <c r="AD45" s="13"/>
      <c r="AE45" s="18"/>
      <c r="AF45" s="44">
        <v>2019.0</v>
      </c>
      <c r="AG45" s="20"/>
      <c r="AH45" s="23"/>
      <c r="AI45" s="45" t="s">
        <v>277</v>
      </c>
      <c r="AJ45" s="23"/>
      <c r="AK45" s="23"/>
    </row>
    <row r="46" ht="14.25" customHeight="1">
      <c r="A46" s="20" t="s">
        <v>278</v>
      </c>
      <c r="B46" s="10" t="s">
        <v>81</v>
      </c>
      <c r="C46" s="47">
        <v>64.0</v>
      </c>
      <c r="D46" s="13"/>
      <c r="E46" s="76">
        <v>86.0</v>
      </c>
      <c r="F46" s="14">
        <v>94.0</v>
      </c>
      <c r="G46" s="48"/>
      <c r="H46" s="13"/>
      <c r="I46" s="47">
        <v>16.52</v>
      </c>
      <c r="J46" s="13"/>
      <c r="K46" s="13"/>
      <c r="L46" s="48"/>
      <c r="M46" s="47">
        <v>64.0</v>
      </c>
      <c r="N46" s="48"/>
      <c r="O46" s="47">
        <v>1515.0</v>
      </c>
      <c r="P46" s="40" t="s">
        <v>279</v>
      </c>
      <c r="Q46" s="49" t="s">
        <v>280</v>
      </c>
      <c r="R46" s="38" t="s">
        <v>281</v>
      </c>
      <c r="S46" s="77">
        <v>103.183697</v>
      </c>
      <c r="T46" s="13"/>
      <c r="U46" s="13"/>
      <c r="V46" s="16"/>
      <c r="W46" s="50" t="s">
        <v>263</v>
      </c>
      <c r="X46" s="51">
        <v>3.0</v>
      </c>
      <c r="Y46" s="52" t="s">
        <v>282</v>
      </c>
      <c r="Z46" s="10" t="s">
        <v>133</v>
      </c>
      <c r="AA46" s="52" t="s">
        <v>283</v>
      </c>
      <c r="AB46" s="10" t="s">
        <v>42</v>
      </c>
      <c r="AC46" s="13"/>
      <c r="AD46" s="13"/>
      <c r="AE46" s="18"/>
      <c r="AF46" s="53">
        <v>2017.0</v>
      </c>
      <c r="AG46" s="20"/>
      <c r="AH46" s="23"/>
      <c r="AI46" s="59" t="s">
        <v>284</v>
      </c>
      <c r="AJ46" s="23"/>
      <c r="AK46" s="23"/>
    </row>
    <row r="47" ht="14.25" customHeight="1">
      <c r="A47" s="20" t="s">
        <v>285</v>
      </c>
      <c r="B47" s="10" t="s">
        <v>38</v>
      </c>
      <c r="C47" s="36">
        <v>40.0</v>
      </c>
      <c r="D47" s="11">
        <v>8.6</v>
      </c>
      <c r="E47" s="37">
        <v>550.0</v>
      </c>
      <c r="F47" s="14">
        <v>95.0</v>
      </c>
      <c r="G47" s="36">
        <v>58.0</v>
      </c>
      <c r="H47" s="11">
        <v>13.5</v>
      </c>
      <c r="I47" s="11">
        <v>44.5</v>
      </c>
      <c r="J47" s="11">
        <v>4.5</v>
      </c>
      <c r="K47" s="36">
        <v>68.0</v>
      </c>
      <c r="L47" s="36">
        <v>40.0</v>
      </c>
      <c r="M47" s="36">
        <v>13.0</v>
      </c>
      <c r="N47" s="36">
        <v>187.0</v>
      </c>
      <c r="O47" s="37">
        <v>224.0</v>
      </c>
      <c r="P47" s="78">
        <v>18.33</v>
      </c>
      <c r="Q47" s="79" t="s">
        <v>286</v>
      </c>
      <c r="R47" s="80"/>
      <c r="S47" s="81"/>
      <c r="T47" s="13"/>
      <c r="U47" s="13"/>
      <c r="V47" s="82" t="s">
        <v>287</v>
      </c>
      <c r="W47" s="41" t="s">
        <v>288</v>
      </c>
      <c r="X47" s="42">
        <v>2.0</v>
      </c>
      <c r="Y47" s="43" t="s">
        <v>289</v>
      </c>
      <c r="Z47" s="10" t="s">
        <v>133</v>
      </c>
      <c r="AA47" s="43" t="s">
        <v>290</v>
      </c>
      <c r="AB47" s="83" t="s">
        <v>291</v>
      </c>
      <c r="AC47" s="13"/>
      <c r="AD47" s="11" t="s">
        <v>292</v>
      </c>
      <c r="AE47" s="18"/>
      <c r="AF47" s="44">
        <v>2005.0</v>
      </c>
      <c r="AG47" s="20"/>
      <c r="AH47" s="23"/>
      <c r="AI47" s="45" t="s">
        <v>293</v>
      </c>
      <c r="AJ47" s="84" t="s">
        <v>294</v>
      </c>
      <c r="AK47" s="23"/>
    </row>
    <row r="48" ht="14.25" customHeight="1">
      <c r="A48" s="20" t="s">
        <v>295</v>
      </c>
      <c r="B48" s="10" t="s">
        <v>38</v>
      </c>
      <c r="C48" s="11">
        <v>120.0</v>
      </c>
      <c r="D48" s="11">
        <v>21.14</v>
      </c>
      <c r="E48" s="11">
        <v>1100.0</v>
      </c>
      <c r="F48" s="14">
        <v>95.0</v>
      </c>
      <c r="G48" s="11">
        <v>314.0</v>
      </c>
      <c r="H48" s="11">
        <v>29.0</v>
      </c>
      <c r="I48" s="11">
        <v>285.0</v>
      </c>
      <c r="J48" s="11">
        <v>22.8</v>
      </c>
      <c r="K48" s="11">
        <v>483.0</v>
      </c>
      <c r="L48" s="13"/>
      <c r="M48" s="11">
        <v>120.0</v>
      </c>
      <c r="N48" s="11"/>
      <c r="O48" s="11">
        <v>800.0</v>
      </c>
      <c r="P48" s="85">
        <v>19.359955</v>
      </c>
      <c r="Q48" s="85">
        <v>102.712223</v>
      </c>
      <c r="R48" s="85">
        <v>19.356911</v>
      </c>
      <c r="S48" s="85">
        <v>102.621721</v>
      </c>
      <c r="T48" s="13"/>
      <c r="U48" s="13"/>
      <c r="V48" s="82" t="s">
        <v>287</v>
      </c>
      <c r="W48" s="10" t="s">
        <v>263</v>
      </c>
      <c r="X48" s="10">
        <v>2.0</v>
      </c>
      <c r="Y48" s="20"/>
      <c r="Z48" s="10" t="s">
        <v>40</v>
      </c>
      <c r="AA48" s="10" t="s">
        <v>296</v>
      </c>
      <c r="AB48" s="83" t="s">
        <v>42</v>
      </c>
      <c r="AC48" s="13"/>
      <c r="AD48" s="13"/>
      <c r="AE48" s="18"/>
      <c r="AF48" s="86"/>
      <c r="AG48" s="20"/>
      <c r="AH48" s="23"/>
      <c r="AI48" s="87" t="s">
        <v>297</v>
      </c>
      <c r="AJ48" s="87" t="s">
        <v>298</v>
      </c>
      <c r="AK48" s="88"/>
    </row>
    <row r="49" ht="14.25" customHeight="1">
      <c r="A49" s="20" t="s">
        <v>299</v>
      </c>
      <c r="B49" s="10" t="s">
        <v>38</v>
      </c>
      <c r="C49" s="11">
        <v>240.0</v>
      </c>
      <c r="D49" s="11">
        <v>39.0</v>
      </c>
      <c r="E49" s="11">
        <v>182.9</v>
      </c>
      <c r="F49" s="14">
        <v>95.0</v>
      </c>
      <c r="G49" s="11">
        <v>107.0</v>
      </c>
      <c r="H49" s="11">
        <v>33.0</v>
      </c>
      <c r="I49" s="89">
        <v>74.0</v>
      </c>
      <c r="J49" s="11">
        <v>22.8</v>
      </c>
      <c r="K49" s="11">
        <v>483.0</v>
      </c>
      <c r="L49" s="11">
        <v>240.0</v>
      </c>
      <c r="M49" s="13"/>
      <c r="N49" s="11">
        <v>872.0</v>
      </c>
      <c r="O49" s="13"/>
      <c r="P49" s="90">
        <v>19.42252</v>
      </c>
      <c r="Q49" s="90">
        <v>102.851194</v>
      </c>
      <c r="R49" s="85">
        <v>19.453333</v>
      </c>
      <c r="S49" s="85">
        <v>103.010833</v>
      </c>
      <c r="T49" s="13"/>
      <c r="U49" s="13"/>
      <c r="V49" s="82" t="s">
        <v>287</v>
      </c>
      <c r="W49" s="10" t="s">
        <v>263</v>
      </c>
      <c r="X49" s="10">
        <v>3.0</v>
      </c>
      <c r="Y49" s="20"/>
      <c r="Z49" s="10" t="s">
        <v>40</v>
      </c>
      <c r="AA49" s="10" t="s">
        <v>300</v>
      </c>
      <c r="AB49" s="83" t="s">
        <v>291</v>
      </c>
      <c r="AC49" s="11">
        <v>1021.0</v>
      </c>
      <c r="AD49" s="11">
        <v>1040.0</v>
      </c>
      <c r="AE49" s="18"/>
      <c r="AF49" s="19">
        <v>2025.0</v>
      </c>
      <c r="AG49" s="20"/>
      <c r="AH49" s="23"/>
      <c r="AI49" s="87" t="s">
        <v>301</v>
      </c>
      <c r="AJ49" s="87" t="s">
        <v>302</v>
      </c>
      <c r="AK49" s="88"/>
    </row>
    <row r="50" ht="14.25" customHeight="1">
      <c r="A50" s="20" t="s">
        <v>303</v>
      </c>
      <c r="B50" s="10" t="s">
        <v>38</v>
      </c>
      <c r="C50" s="11">
        <v>480.0</v>
      </c>
      <c r="D50" s="11">
        <v>180.0</v>
      </c>
      <c r="E50" s="11">
        <v>301.0</v>
      </c>
      <c r="F50" s="11">
        <v>95.0</v>
      </c>
      <c r="G50" s="90">
        <v>1411.0</v>
      </c>
      <c r="H50" s="11">
        <v>341.0</v>
      </c>
      <c r="I50" s="89">
        <v>1070.0</v>
      </c>
      <c r="J50" s="11">
        <v>96.5</v>
      </c>
      <c r="K50" s="90">
        <v>3769.0</v>
      </c>
      <c r="L50" s="13"/>
      <c r="M50" s="11">
        <v>480.0</v>
      </c>
      <c r="N50" s="13"/>
      <c r="O50" s="11">
        <v>2345.0</v>
      </c>
      <c r="P50" s="90">
        <v>18.996361</v>
      </c>
      <c r="Q50" s="90">
        <v>102.822944</v>
      </c>
      <c r="R50" s="91">
        <v>19.083</v>
      </c>
      <c r="S50" s="91">
        <v>102.878</v>
      </c>
      <c r="T50" s="13"/>
      <c r="U50" s="13"/>
      <c r="V50" s="82" t="s">
        <v>287</v>
      </c>
      <c r="W50" s="10" t="s">
        <v>263</v>
      </c>
      <c r="X50" s="10">
        <v>3.0</v>
      </c>
      <c r="Y50" s="20"/>
      <c r="Z50" s="10" t="s">
        <v>40</v>
      </c>
      <c r="AA50" s="10" t="s">
        <v>300</v>
      </c>
      <c r="AB50" s="83" t="s">
        <v>304</v>
      </c>
      <c r="AC50" s="13"/>
      <c r="AD50" s="90">
        <v>723.0</v>
      </c>
      <c r="AE50" s="18"/>
      <c r="AF50" s="19">
        <v>2026.0</v>
      </c>
      <c r="AG50" s="20"/>
      <c r="AH50" s="23"/>
      <c r="AI50" s="92" t="s">
        <v>305</v>
      </c>
      <c r="AJ50" s="87" t="s">
        <v>302</v>
      </c>
      <c r="AK50" s="88"/>
    </row>
    <row r="51" ht="14.25" customHeight="1">
      <c r="A51" s="20" t="s">
        <v>306</v>
      </c>
      <c r="B51" s="10" t="s">
        <v>38</v>
      </c>
      <c r="C51" s="11">
        <v>615.0</v>
      </c>
      <c r="D51" s="11">
        <v>448.0</v>
      </c>
      <c r="E51" s="11">
        <v>146.5</v>
      </c>
      <c r="F51" s="14">
        <v>94.0</v>
      </c>
      <c r="G51" s="11">
        <v>6774.0</v>
      </c>
      <c r="H51" s="11">
        <v>3780.0</v>
      </c>
      <c r="I51" s="89">
        <v>2994.0</v>
      </c>
      <c r="J51" s="11">
        <v>198.8</v>
      </c>
      <c r="K51" s="11">
        <v>5640.0</v>
      </c>
      <c r="L51" s="13"/>
      <c r="M51" s="11">
        <v>615.0</v>
      </c>
      <c r="N51" s="13"/>
      <c r="O51" s="11">
        <v>2220.0</v>
      </c>
      <c r="P51" s="13"/>
      <c r="Q51" s="13"/>
      <c r="R51" s="90">
        <v>18.753</v>
      </c>
      <c r="S51" s="90">
        <v>102.777</v>
      </c>
      <c r="T51" s="13"/>
      <c r="U51" s="13"/>
      <c r="V51" s="82" t="s">
        <v>287</v>
      </c>
      <c r="W51" s="10" t="s">
        <v>263</v>
      </c>
      <c r="X51" s="10">
        <v>3.0</v>
      </c>
      <c r="Y51" s="20"/>
      <c r="Z51" s="10" t="s">
        <v>133</v>
      </c>
      <c r="AA51" s="10" t="s">
        <v>300</v>
      </c>
      <c r="AB51" s="83" t="s">
        <v>304</v>
      </c>
      <c r="AC51" s="13"/>
      <c r="AD51" s="11">
        <v>378.75</v>
      </c>
      <c r="AE51" s="18"/>
      <c r="AF51" s="19">
        <v>2011.0</v>
      </c>
      <c r="AG51" s="20"/>
      <c r="AH51" s="23"/>
      <c r="AI51" s="87" t="s">
        <v>307</v>
      </c>
      <c r="AJ51" s="87" t="s">
        <v>308</v>
      </c>
      <c r="AK51" s="88"/>
    </row>
    <row r="52" ht="14.25" customHeight="1">
      <c r="A52" s="20" t="s">
        <v>309</v>
      </c>
      <c r="B52" s="10" t="s">
        <v>38</v>
      </c>
      <c r="C52" s="11">
        <v>120.0</v>
      </c>
      <c r="D52" s="11">
        <v>345.0</v>
      </c>
      <c r="E52" s="11">
        <v>37.0</v>
      </c>
      <c r="F52" s="14">
        <v>95.0</v>
      </c>
      <c r="G52" s="11">
        <v>7030.0</v>
      </c>
      <c r="H52" s="11">
        <v>2330.0</v>
      </c>
      <c r="I52" s="11">
        <v>4700.0</v>
      </c>
      <c r="J52" s="11">
        <v>80.0</v>
      </c>
      <c r="K52" s="90">
        <v>8460.0</v>
      </c>
      <c r="L52" s="13"/>
      <c r="M52" s="13"/>
      <c r="N52" s="13"/>
      <c r="O52" s="13"/>
      <c r="P52" s="13"/>
      <c r="Q52" s="13"/>
      <c r="R52" s="91">
        <v>18.531</v>
      </c>
      <c r="S52" s="91">
        <v>102.547</v>
      </c>
      <c r="T52" s="13"/>
      <c r="U52" s="13"/>
      <c r="V52" s="82" t="s">
        <v>310</v>
      </c>
      <c r="W52" s="10" t="s">
        <v>263</v>
      </c>
      <c r="X52" s="10">
        <v>3.0</v>
      </c>
      <c r="Y52" s="20"/>
      <c r="Z52" s="10" t="s">
        <v>133</v>
      </c>
      <c r="AA52" s="10" t="s">
        <v>300</v>
      </c>
      <c r="AB52" s="83" t="s">
        <v>291</v>
      </c>
      <c r="AC52" s="13"/>
      <c r="AD52" s="13"/>
      <c r="AE52" s="18"/>
      <c r="AF52" s="19">
        <v>2018.0</v>
      </c>
      <c r="AG52" s="20"/>
      <c r="AH52" s="23"/>
      <c r="AI52" s="87" t="s">
        <v>311</v>
      </c>
      <c r="AJ52" s="87" t="s">
        <v>294</v>
      </c>
      <c r="AK52" s="88"/>
    </row>
    <row r="53" ht="14.25" customHeight="1">
      <c r="A53" s="20" t="s">
        <v>312</v>
      </c>
      <c r="B53" s="10" t="s">
        <v>38</v>
      </c>
      <c r="C53" s="11">
        <v>155.0</v>
      </c>
      <c r="D53" s="11">
        <v>105.0</v>
      </c>
      <c r="E53" s="11">
        <v>10.0</v>
      </c>
      <c r="F53" s="11">
        <v>95.0</v>
      </c>
      <c r="G53" s="11">
        <v>7030.0</v>
      </c>
      <c r="H53" s="11">
        <v>2330.0</v>
      </c>
      <c r="I53" s="11">
        <v>4700.0</v>
      </c>
      <c r="J53" s="11">
        <v>80.0</v>
      </c>
      <c r="K53" s="90">
        <v>8460.0</v>
      </c>
      <c r="L53" s="13"/>
      <c r="M53" s="13"/>
      <c r="N53" s="13"/>
      <c r="O53" s="13"/>
      <c r="P53" s="13"/>
      <c r="Q53" s="13"/>
      <c r="R53" s="91">
        <v>18.531</v>
      </c>
      <c r="S53" s="91">
        <v>102.547</v>
      </c>
      <c r="T53" s="13"/>
      <c r="U53" s="13"/>
      <c r="V53" s="82" t="s">
        <v>310</v>
      </c>
      <c r="W53" s="10" t="s">
        <v>263</v>
      </c>
      <c r="X53" s="10">
        <v>5.0</v>
      </c>
      <c r="Y53" s="20"/>
      <c r="Z53" s="10" t="s">
        <v>133</v>
      </c>
      <c r="AA53" s="10" t="s">
        <v>300</v>
      </c>
      <c r="AB53" s="83" t="s">
        <v>304</v>
      </c>
      <c r="AC53" s="13"/>
      <c r="AD53" s="13"/>
      <c r="AE53" s="18"/>
      <c r="AF53" s="19">
        <v>1971.0</v>
      </c>
      <c r="AG53" s="20"/>
      <c r="AH53" s="23"/>
      <c r="AI53" s="87" t="s">
        <v>311</v>
      </c>
      <c r="AJ53" s="87" t="s">
        <v>294</v>
      </c>
      <c r="AK53" s="88"/>
    </row>
    <row r="54" ht="14.25" customHeight="1">
      <c r="A54" s="20" t="s">
        <v>313</v>
      </c>
      <c r="B54" s="10" t="s">
        <v>81</v>
      </c>
      <c r="C54" s="11">
        <v>19.2</v>
      </c>
      <c r="D54" s="11">
        <v>21.5</v>
      </c>
      <c r="E54" s="11">
        <v>112.14</v>
      </c>
      <c r="F54" s="11">
        <v>93.0</v>
      </c>
      <c r="G54" s="11">
        <v>1411.0</v>
      </c>
      <c r="H54" s="11">
        <v>311.0</v>
      </c>
      <c r="I54" s="11">
        <v>1100.0</v>
      </c>
      <c r="J54" s="11">
        <v>15.8</v>
      </c>
      <c r="K54" s="11"/>
      <c r="L54" s="13"/>
      <c r="M54" s="13"/>
      <c r="N54" s="13"/>
      <c r="O54" s="13"/>
      <c r="P54" s="90">
        <v>18.99354</v>
      </c>
      <c r="Q54" s="90">
        <v>102.833164</v>
      </c>
      <c r="R54" s="90">
        <v>19.010624</v>
      </c>
      <c r="S54" s="90">
        <v>102.871299</v>
      </c>
      <c r="T54" s="13"/>
      <c r="U54" s="13"/>
      <c r="V54" s="82" t="s">
        <v>314</v>
      </c>
      <c r="W54" s="10" t="s">
        <v>263</v>
      </c>
      <c r="X54" s="10">
        <v>3.0</v>
      </c>
      <c r="Y54" s="83" t="s">
        <v>315</v>
      </c>
      <c r="Z54" s="10" t="s">
        <v>133</v>
      </c>
      <c r="AA54" s="10" t="s">
        <v>300</v>
      </c>
      <c r="AB54" s="10" t="s">
        <v>42</v>
      </c>
      <c r="AC54" s="13"/>
      <c r="AD54" s="13"/>
      <c r="AE54" s="18"/>
      <c r="AF54" s="19">
        <v>2020.0</v>
      </c>
      <c r="AG54" s="83"/>
      <c r="AH54" s="23"/>
      <c r="AI54" s="87" t="s">
        <v>316</v>
      </c>
      <c r="AJ54" s="84" t="s">
        <v>294</v>
      </c>
      <c r="AK54" s="23"/>
    </row>
    <row r="55" ht="14.25" customHeight="1">
      <c r="A55" s="20" t="s">
        <v>317</v>
      </c>
      <c r="B55" s="10" t="s">
        <v>81</v>
      </c>
      <c r="C55" s="11">
        <v>6.0</v>
      </c>
      <c r="D55" s="11">
        <v>47.96</v>
      </c>
      <c r="E55" s="11">
        <v>21.0</v>
      </c>
      <c r="F55" s="11">
        <v>94.0</v>
      </c>
      <c r="G55" s="11">
        <v>14.4</v>
      </c>
      <c r="H55" s="11">
        <v>2.0</v>
      </c>
      <c r="I55" s="11">
        <v>12.6</v>
      </c>
      <c r="J55" s="11">
        <v>230.0</v>
      </c>
      <c r="K55" s="90">
        <v>1330.0</v>
      </c>
      <c r="L55" s="11">
        <v>6.0</v>
      </c>
      <c r="M55" s="13"/>
      <c r="N55" s="11">
        <v>13.2</v>
      </c>
      <c r="O55" s="13"/>
      <c r="P55" s="90">
        <v>18.804452</v>
      </c>
      <c r="Q55" s="90">
        <v>102.457448</v>
      </c>
      <c r="R55" s="90">
        <v>18.798712</v>
      </c>
      <c r="S55" s="90">
        <v>102.427183</v>
      </c>
      <c r="T55" s="13"/>
      <c r="U55" s="13"/>
      <c r="V55" s="82" t="s">
        <v>314</v>
      </c>
      <c r="W55" s="83" t="s">
        <v>318</v>
      </c>
      <c r="X55" s="10">
        <v>3.0</v>
      </c>
      <c r="Y55" s="83" t="s">
        <v>319</v>
      </c>
      <c r="Z55" s="10" t="s">
        <v>133</v>
      </c>
      <c r="AA55" s="10" t="s">
        <v>320</v>
      </c>
      <c r="AB55" s="83" t="s">
        <v>291</v>
      </c>
      <c r="AC55" s="11">
        <v>209.0</v>
      </c>
      <c r="AD55" s="11">
        <v>219.7</v>
      </c>
      <c r="AE55" s="18"/>
      <c r="AF55" s="19">
        <v>2012.0</v>
      </c>
      <c r="AG55" s="20"/>
      <c r="AH55" s="23"/>
      <c r="AI55" s="87" t="s">
        <v>321</v>
      </c>
      <c r="AJ55" s="84" t="s">
        <v>294</v>
      </c>
      <c r="AK55" s="23"/>
    </row>
    <row r="56" ht="14.25" customHeight="1">
      <c r="A56" s="20" t="s">
        <v>322</v>
      </c>
      <c r="B56" s="10" t="s">
        <v>38</v>
      </c>
      <c r="C56" s="11">
        <v>86.0</v>
      </c>
      <c r="D56" s="11">
        <v>14.4</v>
      </c>
      <c r="E56" s="11">
        <v>720.0</v>
      </c>
      <c r="F56" s="11">
        <v>91.0</v>
      </c>
      <c r="G56" s="11">
        <v>61.6</v>
      </c>
      <c r="H56" s="11">
        <v>10.8</v>
      </c>
      <c r="I56" s="11">
        <v>50.8</v>
      </c>
      <c r="J56" s="11">
        <v>6.8</v>
      </c>
      <c r="K56" s="11">
        <v>117.0</v>
      </c>
      <c r="L56" s="11">
        <v>86.0</v>
      </c>
      <c r="M56" s="13"/>
      <c r="N56" s="90">
        <v>397.0</v>
      </c>
      <c r="O56" s="13"/>
      <c r="P56" s="90">
        <v>19.033333</v>
      </c>
      <c r="Q56" s="90">
        <v>102.74428</v>
      </c>
      <c r="R56" s="90">
        <v>19.112194</v>
      </c>
      <c r="S56" s="90">
        <v>102.778361</v>
      </c>
      <c r="T56" s="13"/>
      <c r="U56" s="13"/>
      <c r="V56" s="82" t="s">
        <v>323</v>
      </c>
      <c r="W56" s="10" t="s">
        <v>288</v>
      </c>
      <c r="X56" s="10">
        <v>2.0</v>
      </c>
      <c r="Y56" s="10" t="s">
        <v>324</v>
      </c>
      <c r="Z56" s="10" t="s">
        <v>133</v>
      </c>
      <c r="AA56" s="20"/>
      <c r="AB56" s="83" t="s">
        <v>42</v>
      </c>
      <c r="AC56" s="13"/>
      <c r="AD56" s="13"/>
      <c r="AE56" s="18"/>
      <c r="AF56" s="19">
        <v>2017.0</v>
      </c>
      <c r="AG56" s="20"/>
      <c r="AH56" s="23"/>
      <c r="AI56" s="87" t="s">
        <v>325</v>
      </c>
      <c r="AJ56" s="84" t="s">
        <v>326</v>
      </c>
      <c r="AK56" s="23"/>
    </row>
    <row r="57" ht="14.25" customHeight="1">
      <c r="A57" s="20" t="s">
        <v>327</v>
      </c>
      <c r="B57" s="10" t="s">
        <v>81</v>
      </c>
      <c r="C57" s="11">
        <v>64.5</v>
      </c>
      <c r="D57" s="11">
        <v>325.0</v>
      </c>
      <c r="E57" s="11">
        <v>22.3</v>
      </c>
      <c r="F57" s="11">
        <v>93.5</v>
      </c>
      <c r="G57" s="11">
        <v>11.8</v>
      </c>
      <c r="H57" s="11">
        <v>1.2</v>
      </c>
      <c r="I57" s="11">
        <v>10.6</v>
      </c>
      <c r="J57" s="11">
        <v>108.0</v>
      </c>
      <c r="K57" s="11">
        <v>2029.0</v>
      </c>
      <c r="L57" s="13"/>
      <c r="M57" s="13"/>
      <c r="N57" s="13"/>
      <c r="O57" s="13"/>
      <c r="P57" s="90">
        <v>18.618</v>
      </c>
      <c r="Q57" s="90">
        <v>102.387</v>
      </c>
      <c r="R57" s="13"/>
      <c r="S57" s="13"/>
      <c r="T57" s="13"/>
      <c r="U57" s="13"/>
      <c r="V57" s="82" t="s">
        <v>314</v>
      </c>
      <c r="W57" s="83" t="s">
        <v>328</v>
      </c>
      <c r="X57" s="10">
        <v>2.0</v>
      </c>
      <c r="Y57" s="10" t="s">
        <v>329</v>
      </c>
      <c r="Z57" s="10" t="s">
        <v>133</v>
      </c>
      <c r="AA57" s="10" t="s">
        <v>330</v>
      </c>
      <c r="AB57" s="83" t="s">
        <v>304</v>
      </c>
      <c r="AC57" s="13"/>
      <c r="AD57" s="13"/>
      <c r="AE57" s="18"/>
      <c r="AF57" s="19">
        <v>2019.0</v>
      </c>
      <c r="AG57" s="20"/>
      <c r="AH57" s="23"/>
      <c r="AI57" s="87" t="s">
        <v>331</v>
      </c>
      <c r="AJ57" s="84" t="s">
        <v>332</v>
      </c>
      <c r="AK57" s="23"/>
    </row>
    <row r="58" ht="14.25" customHeight="1">
      <c r="A58" s="20" t="s">
        <v>333</v>
      </c>
      <c r="B58" s="10" t="s">
        <v>38</v>
      </c>
      <c r="C58" s="11">
        <v>100.0</v>
      </c>
      <c r="D58" s="11">
        <v>78.1</v>
      </c>
      <c r="E58" s="11">
        <v>73.0</v>
      </c>
      <c r="F58" s="11">
        <v>94.25</v>
      </c>
      <c r="G58" s="11">
        <v>1330.0</v>
      </c>
      <c r="H58" s="11">
        <f>G58-I58</f>
        <v>360</v>
      </c>
      <c r="I58" s="11">
        <v>970.0</v>
      </c>
      <c r="J58" s="11">
        <v>114.0</v>
      </c>
      <c r="K58" s="11">
        <v>1993.0</v>
      </c>
      <c r="L58" s="11">
        <v>100.0</v>
      </c>
      <c r="M58" s="13"/>
      <c r="N58" s="90">
        <v>435.0</v>
      </c>
      <c r="O58" s="13"/>
      <c r="P58" s="13"/>
      <c r="Q58" s="13"/>
      <c r="R58" s="90">
        <v>18.792</v>
      </c>
      <c r="S58" s="90">
        <v>102.119</v>
      </c>
      <c r="T58" s="13"/>
      <c r="U58" s="13"/>
      <c r="V58" s="82" t="s">
        <v>323</v>
      </c>
      <c r="W58" s="10" t="s">
        <v>263</v>
      </c>
      <c r="X58" s="10">
        <v>2.0</v>
      </c>
      <c r="Y58" s="10" t="s">
        <v>334</v>
      </c>
      <c r="Z58" s="10" t="s">
        <v>133</v>
      </c>
      <c r="AA58" s="10" t="s">
        <v>330</v>
      </c>
      <c r="AB58" s="83" t="s">
        <v>304</v>
      </c>
      <c r="AC58" s="13"/>
      <c r="AD58" s="13"/>
      <c r="AE58" s="18"/>
      <c r="AF58" s="19">
        <v>2011.0</v>
      </c>
      <c r="AG58" s="20"/>
      <c r="AH58" s="23"/>
      <c r="AI58" s="87" t="s">
        <v>335</v>
      </c>
      <c r="AJ58" s="21"/>
      <c r="AK58" s="23"/>
    </row>
    <row r="59" ht="14.25" customHeight="1">
      <c r="A59" s="20" t="s">
        <v>336</v>
      </c>
      <c r="B59" s="10" t="s">
        <v>38</v>
      </c>
      <c r="C59" s="90">
        <v>1.25</v>
      </c>
      <c r="D59" s="11">
        <v>50.0</v>
      </c>
      <c r="E59" s="11">
        <v>61.5</v>
      </c>
      <c r="F59" s="11">
        <v>93.0</v>
      </c>
      <c r="G59" s="13"/>
      <c r="H59" s="13"/>
      <c r="I59" s="13"/>
      <c r="J59" s="11">
        <v>310.0</v>
      </c>
      <c r="K59" s="11">
        <v>114.0</v>
      </c>
      <c r="L59" s="90">
        <v>1.25</v>
      </c>
      <c r="M59" s="13"/>
      <c r="N59" s="11">
        <v>6.0</v>
      </c>
      <c r="O59" s="13"/>
      <c r="P59" s="90">
        <v>21.0335</v>
      </c>
      <c r="Q59" s="90">
        <v>101.407222</v>
      </c>
      <c r="R59" s="13"/>
      <c r="S59" s="13"/>
      <c r="T59" s="13"/>
      <c r="U59" s="13"/>
      <c r="V59" s="82" t="s">
        <v>310</v>
      </c>
      <c r="W59" s="10" t="s">
        <v>288</v>
      </c>
      <c r="X59" s="20"/>
      <c r="Y59" s="20"/>
      <c r="Z59" s="10" t="s">
        <v>40</v>
      </c>
      <c r="AA59" s="10" t="s">
        <v>337</v>
      </c>
      <c r="AB59" s="83" t="s">
        <v>42</v>
      </c>
      <c r="AC59" s="13"/>
      <c r="AD59" s="13"/>
      <c r="AE59" s="18"/>
      <c r="AF59" s="19">
        <v>2011.0</v>
      </c>
      <c r="AG59" s="83" t="s">
        <v>338</v>
      </c>
      <c r="AH59" s="23"/>
      <c r="AI59" s="87" t="s">
        <v>339</v>
      </c>
      <c r="AJ59" s="23"/>
      <c r="AK59" s="23"/>
    </row>
    <row r="60" ht="14.25" customHeight="1">
      <c r="A60" s="20" t="s">
        <v>340</v>
      </c>
      <c r="B60" s="10" t="s">
        <v>38</v>
      </c>
      <c r="C60" s="11">
        <v>168.0</v>
      </c>
      <c r="D60" s="11">
        <v>289.5</v>
      </c>
      <c r="E60" s="11">
        <v>65.5</v>
      </c>
      <c r="F60" s="11">
        <v>94.0</v>
      </c>
      <c r="G60" s="11">
        <v>759.4</v>
      </c>
      <c r="H60" s="11">
        <v>455.0</v>
      </c>
      <c r="I60" s="11">
        <v>304.4</v>
      </c>
      <c r="J60" s="11">
        <v>148.0</v>
      </c>
      <c r="K60" s="11">
        <v>64.2</v>
      </c>
      <c r="L60" s="13"/>
      <c r="M60" s="13"/>
      <c r="N60" s="13"/>
      <c r="O60" s="13"/>
      <c r="P60" s="13"/>
      <c r="Q60" s="13"/>
      <c r="R60" s="90">
        <v>20.26625</v>
      </c>
      <c r="S60" s="90">
        <v>100.869</v>
      </c>
      <c r="T60" s="13"/>
      <c r="U60" s="13"/>
      <c r="V60" s="82" t="s">
        <v>310</v>
      </c>
      <c r="W60" s="10" t="s">
        <v>288</v>
      </c>
      <c r="X60" s="10">
        <v>2.0</v>
      </c>
      <c r="Y60" s="20"/>
      <c r="Z60" s="10" t="s">
        <v>40</v>
      </c>
      <c r="AA60" s="10" t="s">
        <v>337</v>
      </c>
      <c r="AB60" s="83" t="s">
        <v>304</v>
      </c>
      <c r="AC60" s="13"/>
      <c r="AD60" s="13"/>
      <c r="AE60" s="18"/>
      <c r="AF60" s="19">
        <v>2019.0</v>
      </c>
      <c r="AG60" s="83" t="s">
        <v>341</v>
      </c>
      <c r="AH60" s="23"/>
      <c r="AI60" s="87" t="s">
        <v>342</v>
      </c>
      <c r="AJ60" s="23"/>
      <c r="AK60" s="23"/>
    </row>
    <row r="61" ht="14.25" customHeight="1">
      <c r="A61" s="20" t="s">
        <v>343</v>
      </c>
      <c r="B61" s="10" t="s">
        <v>81</v>
      </c>
      <c r="C61" s="90">
        <v>37.5</v>
      </c>
      <c r="D61" s="11">
        <v>48.0</v>
      </c>
      <c r="E61" s="11">
        <v>92.0</v>
      </c>
      <c r="F61" s="11">
        <v>93.0</v>
      </c>
      <c r="G61" s="11">
        <v>4.8</v>
      </c>
      <c r="H61" s="11">
        <v>1.8</v>
      </c>
      <c r="I61" s="11">
        <v>3.7</v>
      </c>
      <c r="J61" s="11">
        <v>22.5</v>
      </c>
      <c r="K61" s="11">
        <v>485.0</v>
      </c>
      <c r="L61" s="90">
        <v>37.5</v>
      </c>
      <c r="M61" s="13"/>
      <c r="N61" s="11">
        <v>170.0</v>
      </c>
      <c r="O61" s="13"/>
      <c r="P61" s="90">
        <v>20.242972</v>
      </c>
      <c r="Q61" s="90">
        <v>100.711972</v>
      </c>
      <c r="R61" s="90"/>
      <c r="S61" s="90"/>
      <c r="T61" s="13"/>
      <c r="U61" s="13"/>
      <c r="V61" s="82" t="s">
        <v>314</v>
      </c>
      <c r="W61" s="20"/>
      <c r="X61" s="20"/>
      <c r="Y61" s="20"/>
      <c r="Z61" s="10" t="s">
        <v>40</v>
      </c>
      <c r="AA61" s="10" t="s">
        <v>337</v>
      </c>
      <c r="AB61" s="83" t="s">
        <v>42</v>
      </c>
      <c r="AC61" s="13"/>
      <c r="AD61" s="13"/>
      <c r="AE61" s="18"/>
      <c r="AF61" s="86"/>
      <c r="AG61" s="20"/>
      <c r="AH61" s="83" t="s">
        <v>344</v>
      </c>
      <c r="AI61" s="87" t="s">
        <v>345</v>
      </c>
      <c r="AJ61" s="23"/>
      <c r="AK61" s="23"/>
    </row>
    <row r="62" ht="14.25" customHeight="1">
      <c r="A62" s="20" t="s">
        <v>346</v>
      </c>
      <c r="B62" s="10" t="s">
        <v>38</v>
      </c>
      <c r="C62" s="11">
        <v>5.0</v>
      </c>
      <c r="D62" s="11">
        <v>12.4</v>
      </c>
      <c r="E62" s="11">
        <v>48.0</v>
      </c>
      <c r="F62" s="11">
        <v>94.0</v>
      </c>
      <c r="G62" s="13"/>
      <c r="H62" s="13"/>
      <c r="I62" s="13"/>
      <c r="J62" s="11">
        <v>4.5</v>
      </c>
      <c r="K62" s="11">
        <v>96.0</v>
      </c>
      <c r="L62" s="13"/>
      <c r="M62" s="13"/>
      <c r="N62" s="13"/>
      <c r="O62" s="13"/>
      <c r="P62" s="90">
        <v>20.824167</v>
      </c>
      <c r="Q62" s="90">
        <v>101.469444</v>
      </c>
      <c r="R62" s="90">
        <v>20.845139</v>
      </c>
      <c r="S62" s="90">
        <v>101.497111</v>
      </c>
      <c r="T62" s="13"/>
      <c r="U62" s="13"/>
      <c r="V62" s="93" t="s">
        <v>310</v>
      </c>
      <c r="W62" s="20"/>
      <c r="X62" s="20"/>
      <c r="Y62" s="20"/>
      <c r="Z62" s="10" t="s">
        <v>40</v>
      </c>
      <c r="AA62" s="20"/>
      <c r="AB62" s="20"/>
      <c r="AC62" s="13"/>
      <c r="AD62" s="13"/>
      <c r="AE62" s="18"/>
      <c r="AF62" s="86"/>
      <c r="AG62" s="20"/>
      <c r="AH62" s="83" t="s">
        <v>347</v>
      </c>
      <c r="AI62" s="84" t="s">
        <v>348</v>
      </c>
      <c r="AJ62" s="23"/>
      <c r="AK62" s="23"/>
    </row>
    <row r="63" ht="14.25" customHeight="1">
      <c r="A63" s="20" t="s">
        <v>349</v>
      </c>
      <c r="B63" s="10" t="s">
        <v>38</v>
      </c>
      <c r="C63" s="11">
        <v>210.0</v>
      </c>
      <c r="D63" s="12"/>
      <c r="E63" s="11">
        <v>143.0</v>
      </c>
      <c r="F63" s="11">
        <v>95.0</v>
      </c>
      <c r="G63" s="11">
        <v>1770.0</v>
      </c>
      <c r="H63" s="11">
        <v>710.0</v>
      </c>
      <c r="I63" s="11">
        <v>1060.0</v>
      </c>
      <c r="J63" s="13"/>
      <c r="K63" s="11">
        <v>3448.0</v>
      </c>
      <c r="L63" s="13"/>
      <c r="M63" s="13"/>
      <c r="N63" s="13"/>
      <c r="O63" s="13"/>
      <c r="P63" s="90"/>
      <c r="Q63" s="13"/>
      <c r="R63" s="85">
        <v>22.082389</v>
      </c>
      <c r="S63" s="85">
        <v>102.259278</v>
      </c>
      <c r="T63" s="13"/>
      <c r="U63" s="13"/>
      <c r="V63" s="93"/>
      <c r="W63" s="10" t="s">
        <v>39</v>
      </c>
      <c r="X63" s="10">
        <v>2.0</v>
      </c>
      <c r="Y63" s="94"/>
      <c r="Z63" s="10" t="s">
        <v>40</v>
      </c>
      <c r="AA63" s="10" t="s">
        <v>350</v>
      </c>
      <c r="AB63" s="20"/>
      <c r="AC63" s="13"/>
      <c r="AD63" s="13"/>
      <c r="AE63" s="18"/>
      <c r="AF63" s="86"/>
      <c r="AG63" s="20"/>
      <c r="AH63" s="23"/>
      <c r="AI63" s="87" t="s">
        <v>351</v>
      </c>
      <c r="AJ63" s="87" t="s">
        <v>298</v>
      </c>
      <c r="AK63" s="88"/>
    </row>
    <row r="64" ht="14.25" customHeight="1">
      <c r="A64" s="20" t="s">
        <v>352</v>
      </c>
      <c r="B64" s="10" t="s">
        <v>81</v>
      </c>
      <c r="C64" s="11">
        <v>180.0</v>
      </c>
      <c r="D64" s="12"/>
      <c r="E64" s="11">
        <v>60.0</v>
      </c>
      <c r="F64" s="11">
        <v>93.0</v>
      </c>
      <c r="G64" s="11">
        <v>409.0</v>
      </c>
      <c r="H64" s="11">
        <v>163.0</v>
      </c>
      <c r="I64" s="11">
        <v>246.0</v>
      </c>
      <c r="J64" s="13"/>
      <c r="K64" s="90">
        <v>5480.0</v>
      </c>
      <c r="L64" s="13"/>
      <c r="M64" s="13"/>
      <c r="N64" s="13"/>
      <c r="O64" s="13"/>
      <c r="P64" s="13"/>
      <c r="Q64" s="13"/>
      <c r="R64" s="85">
        <v>21.769</v>
      </c>
      <c r="S64" s="85">
        <v>102.195</v>
      </c>
      <c r="T64" s="13"/>
      <c r="U64" s="13"/>
      <c r="V64" s="16"/>
      <c r="W64" s="10" t="s">
        <v>39</v>
      </c>
      <c r="X64" s="10">
        <v>3.0</v>
      </c>
      <c r="Y64" s="20"/>
      <c r="Z64" s="10" t="s">
        <v>40</v>
      </c>
      <c r="AA64" s="10" t="s">
        <v>350</v>
      </c>
      <c r="AB64" s="20"/>
      <c r="AC64" s="13"/>
      <c r="AD64" s="13"/>
      <c r="AE64" s="18"/>
      <c r="AF64" s="86"/>
      <c r="AG64" s="20"/>
      <c r="AH64" s="23"/>
      <c r="AI64" s="87" t="s">
        <v>353</v>
      </c>
      <c r="AJ64" s="87" t="s">
        <v>298</v>
      </c>
      <c r="AK64" s="88"/>
    </row>
    <row r="65" ht="14.25" customHeight="1">
      <c r="A65" s="20" t="s">
        <v>354</v>
      </c>
      <c r="B65" s="10" t="s">
        <v>38</v>
      </c>
      <c r="C65" s="11">
        <v>240.0</v>
      </c>
      <c r="D65" s="12"/>
      <c r="E65" s="11">
        <v>74.0</v>
      </c>
      <c r="F65" s="11">
        <v>95.0</v>
      </c>
      <c r="G65" s="11">
        <v>335.0</v>
      </c>
      <c r="H65" s="11">
        <v>193.0</v>
      </c>
      <c r="I65" s="11">
        <v>142.0</v>
      </c>
      <c r="J65" s="13"/>
      <c r="K65" s="11">
        <v>10270.0</v>
      </c>
      <c r="L65" s="13"/>
      <c r="M65" s="13"/>
      <c r="N65" s="13"/>
      <c r="O65" s="13"/>
      <c r="P65" s="13"/>
      <c r="Q65" s="13"/>
      <c r="R65" s="91">
        <v>21.411</v>
      </c>
      <c r="S65" s="91">
        <v>102.344</v>
      </c>
      <c r="T65" s="13"/>
      <c r="U65" s="13"/>
      <c r="V65" s="16"/>
      <c r="W65" s="10" t="s">
        <v>39</v>
      </c>
      <c r="X65" s="10">
        <v>3.0</v>
      </c>
      <c r="Y65" s="20"/>
      <c r="Z65" s="10" t="s">
        <v>40</v>
      </c>
      <c r="AA65" s="10" t="s">
        <v>350</v>
      </c>
      <c r="AB65" s="20"/>
      <c r="AC65" s="13"/>
      <c r="AD65" s="13"/>
      <c r="AE65" s="18"/>
      <c r="AF65" s="86"/>
      <c r="AG65" s="20"/>
      <c r="AH65" s="23"/>
      <c r="AI65" s="87" t="s">
        <v>355</v>
      </c>
      <c r="AJ65" s="87" t="s">
        <v>298</v>
      </c>
      <c r="AK65" s="88"/>
    </row>
    <row r="66" ht="14.25" customHeight="1">
      <c r="A66" s="20" t="s">
        <v>356</v>
      </c>
      <c r="B66" s="10" t="s">
        <v>81</v>
      </c>
      <c r="C66" s="11">
        <v>132.0</v>
      </c>
      <c r="D66" s="12"/>
      <c r="E66" s="13"/>
      <c r="F66" s="11">
        <v>94.0</v>
      </c>
      <c r="G66" s="90">
        <v>141.6</v>
      </c>
      <c r="H66" s="13"/>
      <c r="I66" s="11">
        <v>16.0</v>
      </c>
      <c r="J66" s="13"/>
      <c r="K66" s="13"/>
      <c r="L66" s="13"/>
      <c r="M66" s="13"/>
      <c r="N66" s="13"/>
      <c r="O66" s="13"/>
      <c r="P66" s="13"/>
      <c r="Q66" s="13"/>
      <c r="R66" s="90">
        <v>21.104</v>
      </c>
      <c r="S66" s="90">
        <v>102.498</v>
      </c>
      <c r="T66" s="13"/>
      <c r="U66" s="13"/>
      <c r="V66" s="16"/>
      <c r="W66" s="83" t="s">
        <v>328</v>
      </c>
      <c r="X66" s="10">
        <v>3.0</v>
      </c>
      <c r="Y66" s="10" t="s">
        <v>357</v>
      </c>
      <c r="Z66" s="10" t="s">
        <v>40</v>
      </c>
      <c r="AA66" s="10" t="s">
        <v>350</v>
      </c>
      <c r="AB66" s="83" t="s">
        <v>42</v>
      </c>
      <c r="AC66" s="13"/>
      <c r="AD66" s="13"/>
      <c r="AE66" s="18"/>
      <c r="AF66" s="86"/>
      <c r="AG66" s="20"/>
      <c r="AH66" s="23"/>
      <c r="AI66" s="87" t="s">
        <v>358</v>
      </c>
      <c r="AJ66" s="87" t="s">
        <v>298</v>
      </c>
      <c r="AK66" s="88"/>
    </row>
    <row r="67" ht="14.25" customHeight="1">
      <c r="A67" s="20" t="s">
        <v>359</v>
      </c>
      <c r="B67" s="10" t="s">
        <v>81</v>
      </c>
      <c r="C67" s="11">
        <v>210.0</v>
      </c>
      <c r="D67" s="12"/>
      <c r="E67" s="13"/>
      <c r="F67" s="11">
        <v>94.5</v>
      </c>
      <c r="G67" s="90">
        <v>181.0</v>
      </c>
      <c r="H67" s="11">
        <v>24.0</v>
      </c>
      <c r="I67" s="11">
        <v>157.0</v>
      </c>
      <c r="J67" s="13"/>
      <c r="K67" s="13"/>
      <c r="L67" s="13"/>
      <c r="M67" s="13"/>
      <c r="N67" s="13"/>
      <c r="O67" s="13"/>
      <c r="P67" s="13"/>
      <c r="Q67" s="13"/>
      <c r="R67" s="90">
        <v>20.820849</v>
      </c>
      <c r="S67" s="90">
        <v>102.66659</v>
      </c>
      <c r="T67" s="13"/>
      <c r="U67" s="13"/>
      <c r="V67" s="16"/>
      <c r="W67" s="10" t="s">
        <v>39</v>
      </c>
      <c r="X67" s="10">
        <v>3.0</v>
      </c>
      <c r="Y67" s="10" t="s">
        <v>360</v>
      </c>
      <c r="Z67" s="10" t="s">
        <v>40</v>
      </c>
      <c r="AA67" s="10" t="s">
        <v>350</v>
      </c>
      <c r="AB67" s="83" t="s">
        <v>42</v>
      </c>
      <c r="AC67" s="13"/>
      <c r="AD67" s="13"/>
      <c r="AE67" s="18"/>
      <c r="AF67" s="19">
        <v>2020.0</v>
      </c>
      <c r="AG67" s="20"/>
      <c r="AH67" s="23"/>
      <c r="AI67" s="92" t="s">
        <v>361</v>
      </c>
      <c r="AJ67" s="87" t="s">
        <v>298</v>
      </c>
      <c r="AK67" s="88"/>
    </row>
    <row r="68" ht="14.25" customHeight="1">
      <c r="A68" s="20" t="s">
        <v>362</v>
      </c>
      <c r="B68" s="10" t="s">
        <v>81</v>
      </c>
      <c r="C68" s="11">
        <v>120.0</v>
      </c>
      <c r="D68" s="12"/>
      <c r="E68" s="13"/>
      <c r="F68" s="11">
        <v>95.0</v>
      </c>
      <c r="G68" s="11">
        <v>121.0</v>
      </c>
      <c r="H68" s="13">
        <f t="shared" ref="H68:H69" si="1">G68-I68</f>
        <v>96</v>
      </c>
      <c r="I68" s="11">
        <v>25.0</v>
      </c>
      <c r="K68" s="11">
        <v>22159.0</v>
      </c>
      <c r="L68" s="11">
        <v>120.0</v>
      </c>
      <c r="M68" s="13"/>
      <c r="N68" s="90">
        <v>502.0</v>
      </c>
      <c r="O68" s="13"/>
      <c r="P68" s="13"/>
      <c r="Q68" s="13"/>
      <c r="R68" s="90">
        <v>20.388056</v>
      </c>
      <c r="S68" s="90">
        <v>102.449556</v>
      </c>
      <c r="T68" s="13"/>
      <c r="U68" s="13"/>
      <c r="V68" s="16"/>
      <c r="W68" s="83" t="s">
        <v>328</v>
      </c>
      <c r="X68" s="10">
        <v>3.0</v>
      </c>
      <c r="Y68" s="20"/>
      <c r="Z68" s="10" t="s">
        <v>40</v>
      </c>
      <c r="AA68" s="10" t="s">
        <v>350</v>
      </c>
      <c r="AB68" s="83" t="s">
        <v>42</v>
      </c>
      <c r="AC68" s="13"/>
      <c r="AD68" s="13"/>
      <c r="AE68" s="18"/>
      <c r="AF68" s="19">
        <v>2015.0</v>
      </c>
      <c r="AG68" s="20"/>
      <c r="AH68" s="23"/>
      <c r="AI68" s="95" t="s">
        <v>363</v>
      </c>
      <c r="AJ68" s="87" t="s">
        <v>298</v>
      </c>
      <c r="AK68" s="88"/>
    </row>
    <row r="69" ht="14.25" customHeight="1">
      <c r="A69" s="20" t="s">
        <v>364</v>
      </c>
      <c r="B69" s="10" t="s">
        <v>81</v>
      </c>
      <c r="C69" s="11">
        <v>180.0</v>
      </c>
      <c r="D69" s="12"/>
      <c r="E69" s="13"/>
      <c r="F69" s="11">
        <v>93.0</v>
      </c>
      <c r="G69" s="11">
        <v>89.0</v>
      </c>
      <c r="H69" s="13">
        <f t="shared" si="1"/>
        <v>67</v>
      </c>
      <c r="I69" s="11">
        <v>22.0</v>
      </c>
      <c r="J69" s="13"/>
      <c r="K69" s="13"/>
      <c r="L69" s="11">
        <v>180.0</v>
      </c>
      <c r="M69" s="13"/>
      <c r="N69" s="90">
        <v>710.0</v>
      </c>
      <c r="O69" s="13"/>
      <c r="P69" s="96">
        <v>20.149384</v>
      </c>
      <c r="Q69" s="96">
        <v>102.317435</v>
      </c>
      <c r="R69" s="96">
        <v>20.149384</v>
      </c>
      <c r="S69" s="96">
        <v>102.317435</v>
      </c>
      <c r="T69" s="13"/>
      <c r="U69" s="13"/>
      <c r="V69" s="16"/>
      <c r="W69" s="10" t="s">
        <v>288</v>
      </c>
      <c r="X69" s="10">
        <v>4.0</v>
      </c>
      <c r="Y69" s="20"/>
      <c r="Z69" s="10" t="s">
        <v>40</v>
      </c>
      <c r="AA69" s="10" t="s">
        <v>350</v>
      </c>
      <c r="AB69" s="83" t="s">
        <v>42</v>
      </c>
      <c r="AC69" s="13"/>
      <c r="AD69" s="13"/>
      <c r="AE69" s="18"/>
      <c r="AF69" s="19">
        <v>2019.0</v>
      </c>
      <c r="AG69" s="20"/>
      <c r="AH69" s="23"/>
      <c r="AI69" s="87" t="s">
        <v>365</v>
      </c>
      <c r="AJ69" s="87" t="s">
        <v>298</v>
      </c>
      <c r="AK69" s="88"/>
    </row>
    <row r="70" ht="14.25" customHeight="1">
      <c r="A70" s="20" t="s">
        <v>366</v>
      </c>
      <c r="B70" s="10" t="s">
        <v>38</v>
      </c>
      <c r="C70" s="11">
        <v>14.5</v>
      </c>
      <c r="D70" s="11">
        <v>63.94</v>
      </c>
      <c r="E70" s="11">
        <v>26.5</v>
      </c>
      <c r="F70" s="11">
        <v>92.0</v>
      </c>
      <c r="G70" s="11">
        <v>9.3</v>
      </c>
      <c r="H70" s="13"/>
      <c r="I70" s="13"/>
      <c r="J70" s="13"/>
      <c r="K70" s="13"/>
      <c r="L70" s="11"/>
      <c r="M70" s="11">
        <v>14.5</v>
      </c>
      <c r="N70" s="11"/>
      <c r="O70" s="11">
        <v>62.5</v>
      </c>
      <c r="P70" s="11"/>
      <c r="Q70" s="14"/>
      <c r="R70" s="10">
        <v>20.182708</v>
      </c>
      <c r="S70" s="97">
        <v>101.922885</v>
      </c>
      <c r="T70" s="14"/>
      <c r="U70" s="14"/>
      <c r="V70" s="16"/>
      <c r="W70" s="10" t="s">
        <v>367</v>
      </c>
      <c r="X70" s="10">
        <v>2.0</v>
      </c>
      <c r="Y70" s="10" t="s">
        <v>368</v>
      </c>
      <c r="Z70" s="10" t="s">
        <v>40</v>
      </c>
      <c r="AA70" s="10" t="s">
        <v>369</v>
      </c>
      <c r="AB70" s="10" t="s">
        <v>42</v>
      </c>
      <c r="AC70" s="13"/>
      <c r="AD70" s="13"/>
      <c r="AE70" s="18"/>
      <c r="AF70" s="19">
        <v>2015.0</v>
      </c>
      <c r="AG70" s="20"/>
      <c r="AH70" s="21" t="s">
        <v>366</v>
      </c>
      <c r="AI70" s="92" t="s">
        <v>370</v>
      </c>
      <c r="AJ70" s="84" t="s">
        <v>371</v>
      </c>
      <c r="AK70" s="27"/>
    </row>
    <row r="71" ht="14.25" customHeight="1">
      <c r="A71" s="10" t="s">
        <v>372</v>
      </c>
      <c r="B71" s="10" t="s">
        <v>81</v>
      </c>
      <c r="C71" s="11">
        <v>5.6</v>
      </c>
      <c r="D71" s="11">
        <v>2.62</v>
      </c>
      <c r="E71" s="11">
        <v>240.0</v>
      </c>
      <c r="F71" s="98">
        <v>92.3</v>
      </c>
      <c r="G71" s="13"/>
      <c r="H71" s="13"/>
      <c r="I71" s="13"/>
      <c r="J71" s="13"/>
      <c r="K71" s="13"/>
      <c r="L71" s="14">
        <v>5.6</v>
      </c>
      <c r="M71" s="14"/>
      <c r="N71" s="11">
        <v>30.0</v>
      </c>
      <c r="O71" s="14"/>
      <c r="P71" s="11"/>
      <c r="Q71" s="11"/>
      <c r="R71" s="99">
        <v>20.923867</v>
      </c>
      <c r="S71" s="99">
        <v>100.897058</v>
      </c>
      <c r="T71" s="11"/>
      <c r="U71" s="11"/>
      <c r="V71" s="16"/>
      <c r="W71" s="17" t="s">
        <v>73</v>
      </c>
      <c r="X71" s="10">
        <v>2.0</v>
      </c>
      <c r="Y71" s="10" t="s">
        <v>373</v>
      </c>
      <c r="Z71" s="10" t="s">
        <v>40</v>
      </c>
      <c r="AA71" s="100" t="s">
        <v>374</v>
      </c>
      <c r="AB71" s="10" t="s">
        <v>304</v>
      </c>
      <c r="AC71" s="13"/>
      <c r="AD71" s="13"/>
      <c r="AE71" s="18"/>
      <c r="AF71" s="19">
        <v>2014.0</v>
      </c>
      <c r="AG71" s="20"/>
      <c r="AH71" s="21" t="s">
        <v>372</v>
      </c>
      <c r="AI71" s="87" t="s">
        <v>375</v>
      </c>
      <c r="AJ71" s="25" t="s">
        <v>376</v>
      </c>
      <c r="AK71" s="27"/>
    </row>
    <row r="72" ht="14.25" customHeight="1">
      <c r="A72" s="10" t="s">
        <v>377</v>
      </c>
      <c r="B72" s="10" t="s">
        <v>81</v>
      </c>
      <c r="C72" s="11">
        <v>9.5</v>
      </c>
      <c r="D72" s="11">
        <v>8.49</v>
      </c>
      <c r="E72" s="11">
        <v>120.0</v>
      </c>
      <c r="F72" s="98">
        <v>95.0</v>
      </c>
      <c r="G72" s="13"/>
      <c r="H72" s="13"/>
      <c r="I72" s="13"/>
      <c r="J72" s="13"/>
      <c r="K72" s="13"/>
      <c r="L72" s="11">
        <v>9.5</v>
      </c>
      <c r="M72" s="13"/>
      <c r="N72" s="11">
        <v>47.0</v>
      </c>
      <c r="O72" s="11"/>
      <c r="P72" s="13"/>
      <c r="Q72" s="13"/>
      <c r="R72" s="85">
        <v>20.947083</v>
      </c>
      <c r="S72" s="85">
        <v>100.853917</v>
      </c>
      <c r="T72" s="13"/>
      <c r="U72" s="13"/>
      <c r="V72" s="16"/>
      <c r="W72" s="10" t="s">
        <v>367</v>
      </c>
      <c r="X72" s="20"/>
      <c r="Y72" s="20"/>
      <c r="Z72" s="10" t="s">
        <v>40</v>
      </c>
      <c r="AA72" s="10" t="s">
        <v>378</v>
      </c>
      <c r="AB72" s="10" t="s">
        <v>304</v>
      </c>
      <c r="AC72" s="13"/>
      <c r="AD72" s="13"/>
      <c r="AE72" s="18"/>
      <c r="AF72" s="19" t="s">
        <v>379</v>
      </c>
      <c r="AG72" s="20"/>
      <c r="AH72" s="21" t="s">
        <v>380</v>
      </c>
      <c r="AI72" s="87" t="s">
        <v>381</v>
      </c>
      <c r="AJ72" s="23"/>
      <c r="AK72" s="23"/>
    </row>
    <row r="73" ht="14.25" customHeight="1">
      <c r="A73" s="20" t="s">
        <v>382</v>
      </c>
      <c r="B73" s="10" t="s">
        <v>38</v>
      </c>
      <c r="C73" s="11">
        <v>60.0</v>
      </c>
      <c r="D73" s="11">
        <v>39.0</v>
      </c>
      <c r="E73" s="11">
        <v>183.0</v>
      </c>
      <c r="F73" s="98">
        <v>95.0</v>
      </c>
      <c r="G73" s="98">
        <v>185.0</v>
      </c>
      <c r="H73" s="11">
        <v>31.0</v>
      </c>
      <c r="I73" s="11">
        <v>154.0</v>
      </c>
      <c r="J73" s="98">
        <v>16.4</v>
      </c>
      <c r="K73" s="11">
        <v>323.0</v>
      </c>
      <c r="L73" s="11">
        <v>60.0</v>
      </c>
      <c r="M73" s="11"/>
      <c r="N73" s="11">
        <v>215.0</v>
      </c>
      <c r="O73" s="11"/>
      <c r="P73" s="90">
        <v>18.535193</v>
      </c>
      <c r="Q73" s="90">
        <v>102.939174</v>
      </c>
      <c r="R73" s="85">
        <v>18.437</v>
      </c>
      <c r="S73" s="85">
        <v>102.947</v>
      </c>
      <c r="T73" s="90">
        <v>18.505889</v>
      </c>
      <c r="U73" s="90">
        <v>102.937778</v>
      </c>
      <c r="V73" s="16"/>
      <c r="W73" s="10" t="s">
        <v>39</v>
      </c>
      <c r="X73" s="10">
        <v>2.0</v>
      </c>
      <c r="Y73" s="10" t="s">
        <v>383</v>
      </c>
      <c r="Z73" s="10" t="s">
        <v>133</v>
      </c>
      <c r="AA73" s="10" t="s">
        <v>384</v>
      </c>
      <c r="AB73" s="10" t="s">
        <v>256</v>
      </c>
      <c r="AC73" s="11">
        <v>388.0</v>
      </c>
      <c r="AD73" s="11">
        <v>405.0</v>
      </c>
      <c r="AE73" s="18"/>
      <c r="AF73" s="19">
        <v>2000.0</v>
      </c>
      <c r="AG73" s="20"/>
      <c r="AH73" s="21" t="s">
        <v>382</v>
      </c>
      <c r="AI73" s="87" t="s">
        <v>385</v>
      </c>
      <c r="AJ73" s="23"/>
      <c r="AK73" s="23"/>
    </row>
    <row r="74" ht="14.25" customHeight="1">
      <c r="A74" s="20" t="s">
        <v>386</v>
      </c>
      <c r="B74" s="10" t="s">
        <v>38</v>
      </c>
      <c r="C74" s="11">
        <v>60.0</v>
      </c>
      <c r="D74" s="11">
        <v>176.0</v>
      </c>
      <c r="E74" s="11">
        <v>41.5</v>
      </c>
      <c r="F74" s="11">
        <v>95.0</v>
      </c>
      <c r="G74" s="11">
        <v>224.0</v>
      </c>
      <c r="H74" s="98">
        <v>176.0</v>
      </c>
      <c r="I74" s="11">
        <v>48.0</v>
      </c>
      <c r="J74" s="11">
        <v>92.1</v>
      </c>
      <c r="K74" s="31">
        <v>7.049</v>
      </c>
      <c r="L74" s="11">
        <v>60.0</v>
      </c>
      <c r="M74" s="13"/>
      <c r="N74" s="11">
        <v>240.0</v>
      </c>
      <c r="O74" s="13"/>
      <c r="P74" s="11">
        <v>19.74691</v>
      </c>
      <c r="Q74" s="11">
        <v>102.22195</v>
      </c>
      <c r="R74" s="85">
        <v>19.74691</v>
      </c>
      <c r="S74" s="85">
        <v>102.22195</v>
      </c>
      <c r="T74" s="13"/>
      <c r="U74" s="13"/>
      <c r="V74" s="16"/>
      <c r="W74" s="10" t="s">
        <v>39</v>
      </c>
      <c r="X74" s="10">
        <v>2.0</v>
      </c>
      <c r="Y74" s="10" t="s">
        <v>383</v>
      </c>
      <c r="Z74" s="10" t="s">
        <v>40</v>
      </c>
      <c r="AA74" s="17" t="s">
        <v>387</v>
      </c>
      <c r="AB74" s="10" t="s">
        <v>256</v>
      </c>
      <c r="AC74" s="101">
        <v>343.0</v>
      </c>
      <c r="AD74" s="101">
        <v>349.0</v>
      </c>
      <c r="AE74" s="18"/>
      <c r="AF74" s="19">
        <v>2016.0</v>
      </c>
      <c r="AG74" s="20"/>
      <c r="AH74" s="23"/>
      <c r="AI74" s="87" t="s">
        <v>388</v>
      </c>
      <c r="AJ74" s="23"/>
      <c r="AK74" s="23"/>
    </row>
    <row r="75" ht="14.25" customHeight="1">
      <c r="A75" s="20" t="s">
        <v>389</v>
      </c>
      <c r="B75" s="10" t="s">
        <v>38</v>
      </c>
      <c r="C75" s="11">
        <v>130.0</v>
      </c>
      <c r="D75" s="11">
        <v>135.0</v>
      </c>
      <c r="E75" s="11">
        <v>119.18</v>
      </c>
      <c r="F75" s="11">
        <v>95.0</v>
      </c>
      <c r="G75" s="11">
        <v>686.2</v>
      </c>
      <c r="H75" s="98">
        <v>457.1</v>
      </c>
      <c r="I75" s="11">
        <v>229.1</v>
      </c>
      <c r="J75" s="11">
        <v>67.0</v>
      </c>
      <c r="K75" s="31">
        <v>5.167</v>
      </c>
      <c r="L75" s="11">
        <v>130.0</v>
      </c>
      <c r="M75" s="13"/>
      <c r="N75" s="11">
        <v>558.0</v>
      </c>
      <c r="O75" s="13"/>
      <c r="P75" s="90">
        <v>19.683311</v>
      </c>
      <c r="Q75" s="90">
        <v>102.368294</v>
      </c>
      <c r="R75" s="85">
        <v>19.683311</v>
      </c>
      <c r="S75" s="85">
        <v>102.368294</v>
      </c>
      <c r="T75" s="13"/>
      <c r="U75" s="13"/>
      <c r="V75" s="16"/>
      <c r="W75" s="10" t="s">
        <v>39</v>
      </c>
      <c r="X75" s="10">
        <v>2.0</v>
      </c>
      <c r="Y75" s="10" t="s">
        <v>390</v>
      </c>
      <c r="Z75" s="10" t="s">
        <v>40</v>
      </c>
      <c r="AA75" s="83" t="s">
        <v>391</v>
      </c>
      <c r="AB75" s="10" t="s">
        <v>256</v>
      </c>
      <c r="AC75" s="11">
        <v>465.0</v>
      </c>
      <c r="AD75" s="11">
        <v>477.86</v>
      </c>
      <c r="AE75" s="18"/>
      <c r="AF75" s="19">
        <v>2015.0</v>
      </c>
      <c r="AG75" s="20"/>
      <c r="AH75" s="23"/>
      <c r="AI75" s="87" t="s">
        <v>392</v>
      </c>
      <c r="AJ75" s="84" t="s">
        <v>393</v>
      </c>
      <c r="AK75" s="23"/>
    </row>
    <row r="76" ht="14.25" customHeight="1">
      <c r="A76" s="20" t="s">
        <v>394</v>
      </c>
      <c r="B76" s="10" t="s">
        <v>81</v>
      </c>
      <c r="C76" s="19">
        <v>1285.0</v>
      </c>
      <c r="D76" s="11">
        <v>7.825</v>
      </c>
      <c r="E76" s="11">
        <v>18.0</v>
      </c>
      <c r="F76" s="11">
        <v>93.0</v>
      </c>
      <c r="G76" s="11">
        <v>703.2</v>
      </c>
      <c r="H76" s="98">
        <v>478.5</v>
      </c>
      <c r="I76" s="11">
        <v>224.7</v>
      </c>
      <c r="J76" s="13"/>
      <c r="K76" s="19">
        <v>272000.0</v>
      </c>
      <c r="L76" s="11">
        <v>60.0</v>
      </c>
      <c r="M76" s="98">
        <v>1225.0</v>
      </c>
      <c r="N76" s="102"/>
      <c r="O76" s="103">
        <v>7.37</v>
      </c>
      <c r="P76" s="13"/>
      <c r="Q76" s="13"/>
      <c r="R76" s="97">
        <v>19.243611</v>
      </c>
      <c r="S76" s="97">
        <v>101.819444</v>
      </c>
      <c r="T76" s="14"/>
      <c r="U76" s="14"/>
      <c r="V76" s="16"/>
      <c r="W76" s="10" t="s">
        <v>125</v>
      </c>
      <c r="X76" s="10">
        <v>8.0</v>
      </c>
      <c r="Y76" s="10" t="s">
        <v>395</v>
      </c>
      <c r="Z76" s="10" t="s">
        <v>40</v>
      </c>
      <c r="AA76" s="83" t="s">
        <v>396</v>
      </c>
      <c r="AB76" s="10" t="s">
        <v>42</v>
      </c>
      <c r="AC76" s="11">
        <v>270.0</v>
      </c>
      <c r="AD76" s="11">
        <v>275.0</v>
      </c>
      <c r="AE76" s="18"/>
      <c r="AF76" s="19">
        <v>2019.0</v>
      </c>
      <c r="AG76" s="20"/>
      <c r="AH76" s="23"/>
      <c r="AI76" s="87" t="s">
        <v>397</v>
      </c>
      <c r="AJ76" s="84" t="s">
        <v>398</v>
      </c>
      <c r="AK76" s="23"/>
    </row>
    <row r="77" ht="14.25" customHeight="1">
      <c r="A77" s="20" t="s">
        <v>399</v>
      </c>
      <c r="B77" s="10" t="s">
        <v>81</v>
      </c>
      <c r="C77" s="11">
        <v>14.8</v>
      </c>
      <c r="D77" s="98">
        <v>24.0</v>
      </c>
      <c r="E77" s="11">
        <v>75.0</v>
      </c>
      <c r="F77" s="11">
        <v>95.0</v>
      </c>
      <c r="G77" s="11">
        <v>0.21</v>
      </c>
      <c r="H77" s="89">
        <v>0.03</v>
      </c>
      <c r="I77" s="89">
        <v>0.18</v>
      </c>
      <c r="J77" s="11">
        <v>53.0</v>
      </c>
      <c r="K77" s="19">
        <v>1284.0</v>
      </c>
      <c r="L77" s="11">
        <v>14.8</v>
      </c>
      <c r="M77" s="13"/>
      <c r="N77" s="11">
        <v>85.0</v>
      </c>
      <c r="O77" s="19"/>
      <c r="P77" s="85">
        <v>15.153056</v>
      </c>
      <c r="Q77" s="85">
        <v>106.718611</v>
      </c>
      <c r="R77" s="85">
        <v>15.134056</v>
      </c>
      <c r="S77" s="85">
        <v>106.677556</v>
      </c>
      <c r="T77" s="13"/>
      <c r="U77" s="13"/>
      <c r="V77" s="16"/>
      <c r="W77" s="10" t="s">
        <v>39</v>
      </c>
      <c r="X77" s="10">
        <v>2.0</v>
      </c>
      <c r="Y77" s="10" t="s">
        <v>400</v>
      </c>
      <c r="Z77" s="10" t="s">
        <v>52</v>
      </c>
      <c r="AA77" s="83" t="s">
        <v>401</v>
      </c>
      <c r="AB77" s="83" t="s">
        <v>42</v>
      </c>
      <c r="AC77" s="11">
        <v>249.0</v>
      </c>
      <c r="AD77" s="11">
        <v>252.0</v>
      </c>
      <c r="AE77" s="18"/>
      <c r="AF77" s="19">
        <v>2018.0</v>
      </c>
      <c r="AG77" s="20"/>
      <c r="AH77" s="23"/>
      <c r="AI77" s="87" t="s">
        <v>402</v>
      </c>
      <c r="AJ77" s="23"/>
      <c r="AK77" s="23"/>
    </row>
    <row r="78" ht="14.25" customHeight="1">
      <c r="A78" s="20" t="s">
        <v>403</v>
      </c>
      <c r="B78" s="10" t="s">
        <v>81</v>
      </c>
      <c r="C78" s="11">
        <v>12.0</v>
      </c>
      <c r="D78" s="11">
        <v>5.24</v>
      </c>
      <c r="E78" s="98">
        <v>287.0</v>
      </c>
      <c r="F78" s="89">
        <v>92.0</v>
      </c>
      <c r="G78" s="13"/>
      <c r="H78" s="13"/>
      <c r="I78" s="13"/>
      <c r="J78" s="13"/>
      <c r="K78" s="13"/>
      <c r="L78" s="89">
        <v>12.0</v>
      </c>
      <c r="M78" s="89"/>
      <c r="N78" s="89">
        <v>54.0</v>
      </c>
      <c r="O78" s="89"/>
      <c r="P78" s="85">
        <v>19.019111</v>
      </c>
      <c r="Q78" s="85">
        <v>102.749722</v>
      </c>
      <c r="R78" s="85">
        <v>19.018639</v>
      </c>
      <c r="S78" s="85">
        <v>102.730528</v>
      </c>
      <c r="T78" s="90">
        <v>19.018806</v>
      </c>
      <c r="U78" s="90">
        <v>102.744194</v>
      </c>
      <c r="V78" s="16"/>
      <c r="W78" s="10" t="s">
        <v>404</v>
      </c>
      <c r="X78" s="10">
        <v>2.0</v>
      </c>
      <c r="Y78" s="10" t="s">
        <v>405</v>
      </c>
      <c r="Z78" s="10" t="s">
        <v>133</v>
      </c>
      <c r="AA78" s="20"/>
      <c r="AB78" s="10" t="s">
        <v>42</v>
      </c>
      <c r="AC78" s="13"/>
      <c r="AD78" s="13"/>
      <c r="AE78" s="18"/>
      <c r="AF78" s="19">
        <v>2025.0</v>
      </c>
      <c r="AG78" s="20"/>
      <c r="AH78" s="23"/>
      <c r="AI78" s="87" t="s">
        <v>406</v>
      </c>
      <c r="AJ78" s="84" t="s">
        <v>407</v>
      </c>
      <c r="AK78" s="23"/>
    </row>
    <row r="79" ht="14.25" customHeight="1">
      <c r="A79" s="20" t="s">
        <v>408</v>
      </c>
      <c r="B79" s="10" t="s">
        <v>38</v>
      </c>
      <c r="C79" s="11">
        <v>36.0</v>
      </c>
      <c r="D79" s="13"/>
      <c r="E79" s="13"/>
      <c r="F79" s="98">
        <v>95.0</v>
      </c>
      <c r="G79" s="13"/>
      <c r="H79" s="13"/>
      <c r="I79" s="13"/>
      <c r="J79" s="13"/>
      <c r="K79" s="13"/>
      <c r="L79" s="11">
        <v>36.0</v>
      </c>
      <c r="M79" s="13"/>
      <c r="N79" s="11">
        <v>136.0</v>
      </c>
      <c r="O79" s="13"/>
      <c r="P79" s="13"/>
      <c r="Q79" s="13"/>
      <c r="R79" s="91">
        <v>19.946</v>
      </c>
      <c r="S79" s="91">
        <v>101.24</v>
      </c>
      <c r="T79" s="90"/>
      <c r="U79" s="13"/>
      <c r="V79" s="16"/>
      <c r="W79" s="20"/>
      <c r="X79" s="10">
        <v>3.0</v>
      </c>
      <c r="Y79" s="20"/>
      <c r="Z79" s="10" t="s">
        <v>40</v>
      </c>
      <c r="AA79" s="83" t="s">
        <v>408</v>
      </c>
      <c r="AB79" s="10" t="s">
        <v>42</v>
      </c>
      <c r="AC79" s="13"/>
      <c r="AD79" s="13"/>
      <c r="AE79" s="18"/>
      <c r="AF79" s="19">
        <v>2017.0</v>
      </c>
      <c r="AG79" s="20"/>
      <c r="AH79" s="21" t="s">
        <v>409</v>
      </c>
      <c r="AI79" s="87" t="s">
        <v>410</v>
      </c>
      <c r="AJ79" s="23"/>
      <c r="AK79" s="23"/>
    </row>
    <row r="80" ht="14.25" customHeight="1">
      <c r="A80" s="20" t="s">
        <v>411</v>
      </c>
      <c r="B80" s="10" t="s">
        <v>81</v>
      </c>
      <c r="C80" s="19">
        <v>1460.0</v>
      </c>
      <c r="D80" s="19">
        <v>5355.0</v>
      </c>
      <c r="E80" s="11">
        <v>29.56</v>
      </c>
      <c r="F80" s="98">
        <v>95.0</v>
      </c>
      <c r="G80" s="13"/>
      <c r="H80" s="13"/>
      <c r="I80" s="13"/>
      <c r="J80" s="13"/>
      <c r="K80" s="13"/>
      <c r="L80" s="13"/>
      <c r="M80" s="11">
        <v>1460.0</v>
      </c>
      <c r="N80" s="13"/>
      <c r="O80" s="11">
        <v>6854.0</v>
      </c>
      <c r="P80" s="13"/>
      <c r="Q80" s="13"/>
      <c r="R80" s="85">
        <v>20.073528</v>
      </c>
      <c r="S80" s="85">
        <v>102.1875</v>
      </c>
      <c r="T80" s="13"/>
      <c r="U80" s="13"/>
      <c r="V80" s="16"/>
      <c r="W80" s="10" t="s">
        <v>125</v>
      </c>
      <c r="X80" s="10">
        <v>7.0</v>
      </c>
      <c r="Y80" s="10" t="s">
        <v>412</v>
      </c>
      <c r="Z80" s="10" t="s">
        <v>40</v>
      </c>
      <c r="AA80" s="83" t="s">
        <v>413</v>
      </c>
      <c r="AB80" s="10" t="s">
        <v>42</v>
      </c>
      <c r="AC80" s="11">
        <v>275.0</v>
      </c>
      <c r="AD80" s="89">
        <v>312.0</v>
      </c>
      <c r="AE80" s="18"/>
      <c r="AF80" s="104" t="s">
        <v>414</v>
      </c>
      <c r="AG80" s="20"/>
      <c r="AH80" s="23"/>
      <c r="AI80" s="87" t="s">
        <v>415</v>
      </c>
      <c r="AJ80" s="87" t="s">
        <v>416</v>
      </c>
      <c r="AK80" s="88"/>
    </row>
    <row r="81" ht="14.25" customHeight="1">
      <c r="A81" s="20" t="s">
        <v>417</v>
      </c>
      <c r="B81" s="20"/>
      <c r="C81" s="13"/>
      <c r="D81" s="13"/>
      <c r="E81" s="13"/>
      <c r="F81" s="13"/>
      <c r="G81" s="13"/>
      <c r="H81" s="13"/>
      <c r="I81" s="13"/>
      <c r="J81" s="13"/>
      <c r="K81" s="13"/>
      <c r="L81" s="13"/>
      <c r="M81" s="13"/>
      <c r="N81" s="13"/>
      <c r="O81" s="13"/>
      <c r="P81" s="13"/>
      <c r="Q81" s="13"/>
      <c r="R81" s="13"/>
      <c r="S81" s="13"/>
      <c r="T81" s="13"/>
      <c r="U81" s="13"/>
      <c r="V81" s="16"/>
      <c r="W81" s="20"/>
      <c r="X81" s="20"/>
      <c r="Y81" s="20"/>
      <c r="Z81" s="20"/>
      <c r="AA81" s="20"/>
      <c r="AB81" s="20"/>
      <c r="AC81" s="13"/>
      <c r="AD81" s="13"/>
      <c r="AE81" s="18"/>
      <c r="AF81" s="86"/>
      <c r="AG81" s="20"/>
      <c r="AH81" s="23"/>
      <c r="AI81" s="23"/>
      <c r="AJ81" s="23"/>
      <c r="AK81" s="23"/>
    </row>
    <row r="82" ht="14.25" customHeight="1">
      <c r="A82" s="10" t="s">
        <v>418</v>
      </c>
      <c r="B82" s="10" t="s">
        <v>38</v>
      </c>
      <c r="C82" s="11">
        <v>15.0</v>
      </c>
      <c r="D82" s="13"/>
      <c r="E82" s="13"/>
      <c r="F82" s="13"/>
      <c r="G82" s="11">
        <v>16.72</v>
      </c>
      <c r="H82" s="11">
        <v>4.56</v>
      </c>
      <c r="I82" s="11">
        <v>12.16</v>
      </c>
      <c r="J82" s="13"/>
      <c r="K82" s="19">
        <v>2915.0</v>
      </c>
      <c r="L82" s="11">
        <v>15.0</v>
      </c>
      <c r="M82" s="13"/>
      <c r="N82" s="11">
        <v>75.0</v>
      </c>
      <c r="O82" s="13"/>
      <c r="P82" s="13"/>
      <c r="Q82" s="13"/>
      <c r="R82" s="85">
        <v>19.188811</v>
      </c>
      <c r="S82" s="85">
        <v>101.804944</v>
      </c>
      <c r="T82" s="13"/>
      <c r="U82" s="13"/>
      <c r="V82" s="16"/>
      <c r="W82" s="20"/>
      <c r="X82" s="20"/>
      <c r="Y82" s="20"/>
      <c r="Z82" s="10" t="s">
        <v>40</v>
      </c>
      <c r="AA82" s="83" t="s">
        <v>419</v>
      </c>
      <c r="AB82" s="10" t="s">
        <v>42</v>
      </c>
      <c r="AC82" s="98">
        <v>264.67</v>
      </c>
      <c r="AD82" s="104">
        <v>272.0</v>
      </c>
      <c r="AE82" s="18"/>
      <c r="AF82" s="19">
        <v>2023.0</v>
      </c>
      <c r="AG82" s="20"/>
      <c r="AH82" s="23"/>
      <c r="AI82" s="87" t="s">
        <v>420</v>
      </c>
      <c r="AJ82" s="23"/>
      <c r="AK82" s="23"/>
    </row>
    <row r="83" ht="14.25" customHeight="1">
      <c r="A83" s="20" t="s">
        <v>421</v>
      </c>
      <c r="B83" s="10" t="s">
        <v>81</v>
      </c>
      <c r="C83" s="11">
        <v>1.5</v>
      </c>
      <c r="D83" s="13"/>
      <c r="E83" s="13"/>
      <c r="F83" s="13"/>
      <c r="G83" s="13"/>
      <c r="H83" s="13"/>
      <c r="I83" s="13"/>
      <c r="J83" s="13"/>
      <c r="K83" s="13"/>
      <c r="L83" s="11">
        <v>1.5</v>
      </c>
      <c r="M83" s="13"/>
      <c r="N83" s="11">
        <v>8.0</v>
      </c>
      <c r="O83" s="13"/>
      <c r="P83" s="85">
        <v>20.813889</v>
      </c>
      <c r="Q83" s="85">
        <v>102.119</v>
      </c>
      <c r="R83" s="85">
        <v>20.792639</v>
      </c>
      <c r="S83" s="85">
        <v>102.117493</v>
      </c>
      <c r="T83" s="13"/>
      <c r="U83" s="13"/>
      <c r="V83" s="16"/>
      <c r="W83" s="20"/>
      <c r="X83" s="20"/>
      <c r="Y83" s="20"/>
      <c r="Z83" s="10" t="s">
        <v>40</v>
      </c>
      <c r="AA83" s="83" t="s">
        <v>422</v>
      </c>
      <c r="AB83" s="10" t="s">
        <v>168</v>
      </c>
      <c r="AC83" s="13"/>
      <c r="AD83" s="13"/>
      <c r="AE83" s="18"/>
      <c r="AF83" s="19">
        <v>1996.0</v>
      </c>
      <c r="AG83" s="20"/>
      <c r="AH83" s="23"/>
      <c r="AI83" s="87" t="s">
        <v>423</v>
      </c>
      <c r="AJ83" s="23"/>
      <c r="AK83" s="23"/>
    </row>
    <row r="84" ht="14.25" customHeight="1">
      <c r="A84" s="20" t="s">
        <v>424</v>
      </c>
      <c r="B84" s="20"/>
      <c r="C84" s="13"/>
      <c r="D84" s="13"/>
      <c r="E84" s="13"/>
      <c r="F84" s="13"/>
      <c r="G84" s="13"/>
      <c r="H84" s="13"/>
      <c r="I84" s="105"/>
      <c r="J84" s="105"/>
      <c r="K84" s="105"/>
      <c r="L84" s="105"/>
      <c r="M84" s="105"/>
      <c r="N84" s="105"/>
      <c r="O84" s="105"/>
      <c r="P84" s="105"/>
      <c r="Q84" s="105"/>
      <c r="R84" s="105"/>
      <c r="S84" s="105"/>
      <c r="T84" s="105"/>
      <c r="U84" s="105"/>
      <c r="V84" s="16"/>
      <c r="W84" s="20"/>
      <c r="X84" s="20"/>
      <c r="Y84" s="20"/>
      <c r="Z84" s="20"/>
      <c r="AA84" s="20"/>
      <c r="AB84" s="20"/>
      <c r="AC84" s="13"/>
      <c r="AD84" s="13"/>
      <c r="AE84" s="18"/>
      <c r="AF84" s="86"/>
      <c r="AG84" s="20"/>
      <c r="AH84" s="23"/>
      <c r="AI84" s="23"/>
      <c r="AJ84" s="23"/>
      <c r="AK84" s="23"/>
    </row>
    <row r="85" ht="14.25" customHeight="1">
      <c r="A85" s="20" t="s">
        <v>425</v>
      </c>
      <c r="B85" s="10" t="s">
        <v>81</v>
      </c>
      <c r="C85" s="11">
        <v>14.0</v>
      </c>
      <c r="D85" s="98">
        <v>11.5</v>
      </c>
      <c r="E85" s="98">
        <v>145.0</v>
      </c>
      <c r="F85" s="11"/>
      <c r="G85" s="13"/>
      <c r="H85" s="13"/>
      <c r="I85" s="13"/>
      <c r="J85" s="13"/>
      <c r="K85" s="11">
        <v>96.0</v>
      </c>
      <c r="L85" s="11">
        <v>14.0</v>
      </c>
      <c r="M85" s="13"/>
      <c r="N85" s="11">
        <v>50.0</v>
      </c>
      <c r="O85" s="13"/>
      <c r="P85" s="13"/>
      <c r="Q85" s="13"/>
      <c r="R85" s="85">
        <v>19.212111</v>
      </c>
      <c r="S85" s="85">
        <v>102.329694</v>
      </c>
      <c r="T85" s="13"/>
      <c r="U85" s="13"/>
      <c r="V85" s="16"/>
      <c r="W85" s="10" t="s">
        <v>39</v>
      </c>
      <c r="X85" s="10">
        <v>3.0</v>
      </c>
      <c r="Y85" s="10" t="s">
        <v>426</v>
      </c>
      <c r="Z85" s="10" t="s">
        <v>133</v>
      </c>
      <c r="AA85" s="83" t="s">
        <v>427</v>
      </c>
      <c r="AB85" s="10" t="s">
        <v>428</v>
      </c>
      <c r="AC85" s="106">
        <v>640.0</v>
      </c>
      <c r="AD85" s="106">
        <v>642.0</v>
      </c>
      <c r="AE85" s="18"/>
      <c r="AF85" s="19">
        <v>2014.0</v>
      </c>
      <c r="AG85" s="20"/>
      <c r="AH85" s="23"/>
      <c r="AI85" s="87" t="s">
        <v>429</v>
      </c>
      <c r="AJ85" s="23"/>
      <c r="AK85" s="23"/>
    </row>
    <row r="86" ht="14.25" customHeight="1">
      <c r="A86" s="107" t="s">
        <v>430</v>
      </c>
      <c r="B86" s="20"/>
      <c r="C86" s="13"/>
      <c r="D86" s="13"/>
      <c r="E86" s="13"/>
      <c r="F86" s="13"/>
      <c r="G86" s="13"/>
      <c r="H86" s="13"/>
      <c r="I86" s="13"/>
      <c r="J86" s="13"/>
      <c r="K86" s="13"/>
      <c r="L86" s="13"/>
      <c r="M86" s="13"/>
      <c r="N86" s="13"/>
      <c r="O86" s="13"/>
      <c r="P86" s="13"/>
      <c r="Q86" s="13"/>
      <c r="R86" s="13"/>
      <c r="S86" s="13"/>
      <c r="T86" s="13"/>
      <c r="U86" s="13"/>
      <c r="V86" s="16"/>
      <c r="W86" s="20"/>
      <c r="X86" s="20"/>
      <c r="Y86" s="20"/>
      <c r="Z86" s="20"/>
      <c r="AA86" s="20"/>
      <c r="AB86" s="20"/>
      <c r="AC86" s="13"/>
      <c r="AD86" s="13"/>
      <c r="AE86" s="18"/>
      <c r="AF86" s="86"/>
      <c r="AG86" s="20"/>
      <c r="AH86" s="23"/>
      <c r="AI86" s="23"/>
      <c r="AJ86" s="23"/>
      <c r="AK86" s="23"/>
    </row>
    <row r="87" ht="14.25" customHeight="1">
      <c r="A87" s="20" t="s">
        <v>431</v>
      </c>
      <c r="B87" s="20"/>
      <c r="C87" s="13"/>
      <c r="D87" s="13"/>
      <c r="E87" s="13"/>
      <c r="F87" s="13"/>
      <c r="G87" s="13"/>
      <c r="H87" s="13"/>
      <c r="I87" s="13"/>
      <c r="J87" s="13"/>
      <c r="K87" s="13"/>
      <c r="L87" s="13"/>
      <c r="M87" s="13"/>
      <c r="N87" s="13"/>
      <c r="O87" s="13"/>
      <c r="P87" s="13"/>
      <c r="Q87" s="13"/>
      <c r="R87" s="13"/>
      <c r="S87" s="13"/>
      <c r="T87" s="13"/>
      <c r="U87" s="13"/>
      <c r="V87" s="16"/>
      <c r="W87" s="20"/>
      <c r="X87" s="20"/>
      <c r="Y87" s="20"/>
      <c r="Z87" s="20"/>
      <c r="AA87" s="20"/>
      <c r="AB87" s="20"/>
      <c r="AC87" s="13"/>
      <c r="AD87" s="13"/>
      <c r="AE87" s="18"/>
      <c r="AF87" s="86"/>
      <c r="AG87" s="20"/>
      <c r="AH87" s="23"/>
      <c r="AI87" s="23"/>
      <c r="AJ87" s="23"/>
      <c r="AK87" s="23"/>
    </row>
    <row r="88" ht="14.25" customHeight="1">
      <c r="A88" s="20" t="s">
        <v>432</v>
      </c>
      <c r="B88" s="10" t="s">
        <v>81</v>
      </c>
      <c r="C88" s="11">
        <v>3.2</v>
      </c>
      <c r="D88" s="98">
        <v>5.06</v>
      </c>
      <c r="E88" s="11">
        <v>78.4</v>
      </c>
      <c r="F88" s="13"/>
      <c r="G88" s="13"/>
      <c r="H88" s="13"/>
      <c r="I88" s="13"/>
      <c r="J88" s="108">
        <v>126.49</v>
      </c>
      <c r="K88" s="11">
        <v>102.0</v>
      </c>
      <c r="L88" s="11">
        <v>3.2</v>
      </c>
      <c r="M88" s="13"/>
      <c r="N88" s="11">
        <v>17.0</v>
      </c>
      <c r="O88" s="13"/>
      <c r="P88" s="85">
        <v>16.739338</v>
      </c>
      <c r="Q88" s="85">
        <v>106.48542</v>
      </c>
      <c r="R88" s="85">
        <v>16.736667</v>
      </c>
      <c r="S88" s="85">
        <v>106.491667</v>
      </c>
      <c r="T88" s="13"/>
      <c r="U88" s="13"/>
      <c r="V88" s="16"/>
      <c r="W88" s="10" t="s">
        <v>39</v>
      </c>
      <c r="X88" s="10">
        <v>2.0</v>
      </c>
      <c r="Y88" s="10" t="s">
        <v>433</v>
      </c>
      <c r="Z88" s="10" t="s">
        <v>52</v>
      </c>
      <c r="AA88" s="83" t="s">
        <v>434</v>
      </c>
      <c r="AB88" s="10" t="s">
        <v>42</v>
      </c>
      <c r="AC88" s="13"/>
      <c r="AD88" s="13"/>
      <c r="AE88" s="18"/>
      <c r="AF88" s="19">
        <v>2012.0</v>
      </c>
      <c r="AG88" s="20"/>
      <c r="AH88" s="23"/>
      <c r="AI88" s="84" t="s">
        <v>435</v>
      </c>
      <c r="AJ88" s="23"/>
      <c r="AK88" s="23"/>
    </row>
    <row r="89" ht="14.25" customHeight="1">
      <c r="A89" s="20" t="s">
        <v>436</v>
      </c>
      <c r="B89" s="10" t="s">
        <v>81</v>
      </c>
      <c r="C89" s="11">
        <v>20.1</v>
      </c>
      <c r="D89" s="13"/>
      <c r="E89" s="13"/>
      <c r="F89" s="13"/>
      <c r="G89" s="13"/>
      <c r="H89" s="13"/>
      <c r="I89" s="13"/>
      <c r="J89" s="13"/>
      <c r="K89" s="13"/>
      <c r="L89" s="11">
        <v>21.1</v>
      </c>
      <c r="M89" s="13"/>
      <c r="N89" s="11">
        <v>83.0</v>
      </c>
      <c r="O89" s="13"/>
      <c r="P89" s="85">
        <v>15.122167</v>
      </c>
      <c r="Q89" s="85">
        <v>106.641389</v>
      </c>
      <c r="R89" s="13"/>
      <c r="S89" s="13"/>
      <c r="T89" s="13"/>
      <c r="U89" s="13"/>
      <c r="V89" s="16"/>
      <c r="W89" s="10" t="s">
        <v>39</v>
      </c>
      <c r="X89" s="10">
        <v>3.0</v>
      </c>
      <c r="Y89" s="10" t="s">
        <v>437</v>
      </c>
      <c r="Z89" s="10" t="s">
        <v>52</v>
      </c>
      <c r="AA89" s="83" t="s">
        <v>438</v>
      </c>
      <c r="AB89" s="10" t="s">
        <v>42</v>
      </c>
      <c r="AC89" s="13"/>
      <c r="AD89" s="13"/>
      <c r="AE89" s="18"/>
      <c r="AF89" s="19">
        <v>2016.0</v>
      </c>
      <c r="AG89" s="20"/>
      <c r="AH89" s="23"/>
      <c r="AI89" s="87" t="s">
        <v>439</v>
      </c>
      <c r="AJ89" s="23"/>
      <c r="AK89" s="23"/>
    </row>
    <row r="90" ht="14.25" customHeight="1">
      <c r="A90" s="20" t="s">
        <v>440</v>
      </c>
      <c r="B90" s="10" t="s">
        <v>38</v>
      </c>
      <c r="C90" s="11">
        <v>5.0</v>
      </c>
      <c r="D90" s="13"/>
      <c r="E90" s="13"/>
      <c r="F90" s="13"/>
      <c r="G90" s="13"/>
      <c r="H90" s="13"/>
      <c r="I90" s="13"/>
      <c r="J90" s="13"/>
      <c r="K90" s="11">
        <v>24.0</v>
      </c>
      <c r="L90" s="13"/>
      <c r="M90" s="13"/>
      <c r="N90" s="13"/>
      <c r="O90" s="13"/>
      <c r="P90" s="85">
        <v>15.36725</v>
      </c>
      <c r="Q90" s="85">
        <v>106.1465</v>
      </c>
      <c r="R90" s="109">
        <v>15.355</v>
      </c>
      <c r="S90" s="109">
        <v>106.161667</v>
      </c>
      <c r="T90" s="13"/>
      <c r="U90" s="13"/>
      <c r="V90" s="16"/>
      <c r="W90" s="10" t="s">
        <v>73</v>
      </c>
      <c r="X90" s="10">
        <v>2.0</v>
      </c>
      <c r="Y90" s="10" t="s">
        <v>441</v>
      </c>
      <c r="Z90" s="10" t="s">
        <v>52</v>
      </c>
      <c r="AA90" s="83" t="s">
        <v>442</v>
      </c>
      <c r="AB90" s="10" t="s">
        <v>42</v>
      </c>
      <c r="AC90" s="89">
        <v>914.0</v>
      </c>
      <c r="AD90" s="89">
        <v>923.0</v>
      </c>
      <c r="AE90" s="18"/>
      <c r="AF90" s="19">
        <v>2020.0</v>
      </c>
      <c r="AG90" s="20"/>
      <c r="AH90" s="23"/>
      <c r="AI90" s="84" t="s">
        <v>443</v>
      </c>
      <c r="AJ90" s="23"/>
      <c r="AK90" s="23"/>
    </row>
    <row r="91" ht="14.25" customHeight="1">
      <c r="A91" s="20" t="s">
        <v>444</v>
      </c>
      <c r="B91" s="10" t="s">
        <v>81</v>
      </c>
      <c r="C91" s="11">
        <v>23.0</v>
      </c>
      <c r="D91" s="13"/>
      <c r="E91" s="13"/>
      <c r="F91" s="13"/>
      <c r="G91" s="13"/>
      <c r="H91" s="13"/>
      <c r="I91" s="13"/>
      <c r="J91" s="13"/>
      <c r="K91" s="13"/>
      <c r="L91" s="13"/>
      <c r="M91" s="13"/>
      <c r="N91" s="13"/>
      <c r="O91" s="13"/>
      <c r="P91" s="85">
        <v>20.533987</v>
      </c>
      <c r="Q91" s="85">
        <v>104.388582</v>
      </c>
      <c r="R91" s="85">
        <v>20.506235</v>
      </c>
      <c r="S91" s="85">
        <v>104.357793</v>
      </c>
      <c r="T91" s="13"/>
      <c r="U91" s="13"/>
      <c r="V91" s="16"/>
      <c r="W91" s="20"/>
      <c r="X91" s="20"/>
      <c r="Y91" s="20"/>
      <c r="Z91" s="10" t="s">
        <v>40</v>
      </c>
      <c r="AA91" s="83" t="s">
        <v>445</v>
      </c>
      <c r="AB91" s="83" t="s">
        <v>42</v>
      </c>
      <c r="AC91" s="13"/>
      <c r="AD91" s="13"/>
      <c r="AE91" s="18"/>
      <c r="AF91" s="106">
        <v>2020.0</v>
      </c>
      <c r="AG91" s="20"/>
      <c r="AH91" s="23"/>
      <c r="AI91" s="84" t="s">
        <v>446</v>
      </c>
      <c r="AJ91" s="23"/>
      <c r="AK91" s="23"/>
    </row>
    <row r="92" ht="14.25" customHeight="1">
      <c r="A92" s="20" t="s">
        <v>447</v>
      </c>
      <c r="B92" s="20"/>
      <c r="C92" s="13"/>
      <c r="D92" s="13"/>
      <c r="E92" s="13"/>
      <c r="F92" s="13"/>
      <c r="G92" s="13"/>
      <c r="H92" s="13"/>
      <c r="I92" s="13"/>
      <c r="J92" s="13"/>
      <c r="K92" s="13"/>
      <c r="L92" s="13"/>
      <c r="M92" s="13"/>
      <c r="N92" s="13"/>
      <c r="O92" s="13"/>
      <c r="P92" s="13"/>
      <c r="Q92" s="13"/>
      <c r="R92" s="13"/>
      <c r="S92" s="13"/>
      <c r="T92" s="13"/>
      <c r="U92" s="13"/>
      <c r="V92" s="16"/>
      <c r="W92" s="20"/>
      <c r="X92" s="20"/>
      <c r="Y92" s="20"/>
      <c r="Z92" s="20"/>
      <c r="AA92" s="20"/>
      <c r="AB92" s="20"/>
      <c r="AC92" s="13"/>
      <c r="AD92" s="13"/>
      <c r="AE92" s="18"/>
      <c r="AF92" s="86"/>
      <c r="AG92" s="20"/>
      <c r="AH92" s="23"/>
      <c r="AI92" s="23"/>
      <c r="AJ92" s="23"/>
      <c r="AK92" s="23"/>
    </row>
    <row r="93" ht="14.25" customHeight="1">
      <c r="V93" s="110"/>
      <c r="AE93" s="110"/>
      <c r="AF93" s="111"/>
    </row>
    <row r="94" ht="14.25" customHeight="1">
      <c r="V94" s="110"/>
      <c r="AE94" s="110"/>
      <c r="AF94" s="111"/>
    </row>
    <row r="95" ht="14.25" customHeight="1">
      <c r="V95" s="110"/>
      <c r="AE95" s="110"/>
      <c r="AF95" s="111"/>
    </row>
    <row r="96" ht="14.25" customHeight="1">
      <c r="V96" s="110"/>
      <c r="AE96" s="110"/>
      <c r="AF96" s="111"/>
    </row>
    <row r="97" ht="14.25" customHeight="1">
      <c r="V97" s="110"/>
      <c r="AE97" s="110"/>
      <c r="AF97" s="111"/>
    </row>
    <row r="98" ht="14.25" customHeight="1">
      <c r="V98" s="110"/>
      <c r="AE98" s="110"/>
      <c r="AF98" s="111"/>
    </row>
    <row r="99" ht="14.25" customHeight="1">
      <c r="V99" s="110"/>
      <c r="AE99" s="110"/>
      <c r="AF99" s="111"/>
    </row>
    <row r="100" ht="14.25" customHeight="1">
      <c r="V100" s="110"/>
      <c r="AE100" s="110"/>
      <c r="AF100" s="111"/>
    </row>
    <row r="101" ht="14.25" customHeight="1">
      <c r="V101" s="110"/>
      <c r="AE101" s="110"/>
      <c r="AF101" s="111"/>
    </row>
    <row r="102" ht="14.25" customHeight="1">
      <c r="V102" s="110"/>
      <c r="AE102" s="110"/>
      <c r="AF102" s="111"/>
    </row>
    <row r="103" ht="14.25" customHeight="1">
      <c r="G103" s="112"/>
      <c r="V103" s="110"/>
      <c r="AE103" s="110"/>
      <c r="AF103" s="111"/>
    </row>
    <row r="104" ht="14.25" customHeight="1">
      <c r="G104" s="112"/>
      <c r="V104" s="110"/>
      <c r="AE104" s="110"/>
      <c r="AF104" s="111"/>
    </row>
    <row r="105" ht="14.25" customHeight="1">
      <c r="G105" s="112"/>
      <c r="V105" s="110"/>
      <c r="AE105" s="110"/>
      <c r="AF105" s="111"/>
    </row>
    <row r="106" ht="14.25" customHeight="1">
      <c r="G106" s="112"/>
      <c r="V106" s="110"/>
      <c r="AE106" s="110"/>
      <c r="AF106" s="111"/>
    </row>
    <row r="107" ht="14.25" customHeight="1">
      <c r="G107" s="112"/>
      <c r="V107" s="110"/>
      <c r="AE107" s="110"/>
      <c r="AF107" s="111"/>
    </row>
    <row r="108" ht="14.25" customHeight="1">
      <c r="G108" s="112"/>
      <c r="V108" s="110"/>
      <c r="AE108" s="110"/>
      <c r="AF108" s="111"/>
    </row>
    <row r="109" ht="14.25" customHeight="1">
      <c r="V109" s="110"/>
      <c r="AE109" s="110"/>
      <c r="AF109" s="111"/>
    </row>
    <row r="110" ht="14.25" customHeight="1">
      <c r="V110" s="110"/>
      <c r="AE110" s="110"/>
      <c r="AF110" s="111"/>
    </row>
    <row r="111" ht="14.25" customHeight="1">
      <c r="V111" s="110"/>
      <c r="AE111" s="110"/>
      <c r="AF111" s="111"/>
    </row>
    <row r="112" ht="14.25" customHeight="1">
      <c r="V112" s="110"/>
      <c r="AE112" s="110"/>
      <c r="AF112" s="111"/>
    </row>
    <row r="113" ht="14.25" customHeight="1">
      <c r="V113" s="110"/>
      <c r="AE113" s="110"/>
      <c r="AF113" s="111"/>
    </row>
    <row r="114" ht="14.25" customHeight="1">
      <c r="V114" s="110"/>
      <c r="AE114" s="110"/>
      <c r="AF114" s="111"/>
    </row>
    <row r="115" ht="14.25" customHeight="1">
      <c r="V115" s="110"/>
      <c r="AE115" s="110"/>
      <c r="AF115" s="111"/>
    </row>
    <row r="116" ht="14.25" customHeight="1">
      <c r="V116" s="110"/>
      <c r="AE116" s="110"/>
      <c r="AF116" s="111"/>
    </row>
    <row r="117" ht="14.25" customHeight="1">
      <c r="V117" s="110"/>
      <c r="AE117" s="110"/>
      <c r="AF117" s="111"/>
    </row>
    <row r="118" ht="14.25" customHeight="1">
      <c r="V118" s="110"/>
      <c r="AE118" s="110"/>
      <c r="AF118" s="111"/>
    </row>
    <row r="119" ht="14.25" customHeight="1">
      <c r="V119" s="110"/>
      <c r="AE119" s="110"/>
      <c r="AF119" s="111"/>
    </row>
    <row r="120" ht="14.25" customHeight="1">
      <c r="V120" s="110"/>
      <c r="AE120" s="110"/>
      <c r="AF120" s="111"/>
    </row>
    <row r="121" ht="14.25" customHeight="1">
      <c r="V121" s="110"/>
      <c r="AE121" s="110"/>
      <c r="AF121" s="111"/>
    </row>
    <row r="122" ht="14.25" customHeight="1">
      <c r="V122" s="110"/>
      <c r="AE122" s="110"/>
      <c r="AF122" s="111"/>
    </row>
    <row r="123" ht="14.25" customHeight="1">
      <c r="V123" s="110"/>
      <c r="AE123" s="110"/>
      <c r="AF123" s="111"/>
    </row>
    <row r="124" ht="14.25" customHeight="1">
      <c r="V124" s="110"/>
      <c r="AE124" s="110"/>
      <c r="AF124" s="111"/>
    </row>
    <row r="125" ht="14.25" customHeight="1">
      <c r="V125" s="110"/>
      <c r="AE125" s="110"/>
      <c r="AF125" s="111"/>
    </row>
    <row r="126" ht="14.25" customHeight="1">
      <c r="V126" s="110"/>
      <c r="AE126" s="110"/>
      <c r="AF126" s="111"/>
    </row>
    <row r="127" ht="14.25" customHeight="1">
      <c r="V127" s="110"/>
      <c r="AE127" s="110"/>
      <c r="AF127" s="111"/>
    </row>
    <row r="128" ht="14.25" customHeight="1">
      <c r="V128" s="110"/>
      <c r="AE128" s="110"/>
      <c r="AF128" s="111"/>
    </row>
    <row r="129" ht="14.25" customHeight="1">
      <c r="V129" s="110"/>
      <c r="AE129" s="110"/>
      <c r="AF129" s="111"/>
    </row>
    <row r="130" ht="14.25" customHeight="1">
      <c r="V130" s="110"/>
      <c r="AE130" s="110"/>
      <c r="AF130" s="111"/>
    </row>
    <row r="131" ht="14.25" customHeight="1">
      <c r="V131" s="110"/>
      <c r="AE131" s="110"/>
      <c r="AF131" s="111"/>
    </row>
    <row r="132" ht="14.25" customHeight="1">
      <c r="V132" s="110"/>
      <c r="AE132" s="110"/>
      <c r="AF132" s="111"/>
    </row>
    <row r="133" ht="14.25" customHeight="1">
      <c r="V133" s="110"/>
      <c r="AE133" s="110"/>
      <c r="AF133" s="111"/>
    </row>
    <row r="134" ht="14.25" customHeight="1">
      <c r="V134" s="110"/>
      <c r="AE134" s="110"/>
      <c r="AF134" s="111"/>
    </row>
    <row r="135" ht="14.25" customHeight="1">
      <c r="V135" s="110"/>
      <c r="AE135" s="110"/>
      <c r="AF135" s="111"/>
    </row>
    <row r="136" ht="14.25" customHeight="1">
      <c r="V136" s="110"/>
      <c r="AE136" s="110"/>
      <c r="AF136" s="111"/>
    </row>
    <row r="137" ht="14.25" customHeight="1">
      <c r="V137" s="110"/>
      <c r="AE137" s="110"/>
      <c r="AF137" s="111"/>
    </row>
    <row r="138" ht="14.25" customHeight="1">
      <c r="V138" s="110"/>
      <c r="AE138" s="110"/>
      <c r="AF138" s="111"/>
    </row>
    <row r="139" ht="14.25" customHeight="1">
      <c r="V139" s="110"/>
      <c r="AE139" s="110"/>
      <c r="AF139" s="111"/>
    </row>
    <row r="140" ht="14.25" customHeight="1">
      <c r="V140" s="110"/>
      <c r="AE140" s="110"/>
      <c r="AF140" s="111"/>
    </row>
    <row r="141" ht="14.25" customHeight="1">
      <c r="V141" s="110"/>
      <c r="AE141" s="110"/>
      <c r="AF141" s="111"/>
    </row>
    <row r="142" ht="14.25" customHeight="1">
      <c r="V142" s="110"/>
      <c r="AE142" s="110"/>
      <c r="AF142" s="111"/>
    </row>
    <row r="143" ht="14.25" customHeight="1">
      <c r="V143" s="110"/>
      <c r="AE143" s="110"/>
      <c r="AF143" s="111"/>
    </row>
    <row r="144" ht="14.25" customHeight="1">
      <c r="V144" s="110"/>
      <c r="AE144" s="110"/>
      <c r="AF144" s="111"/>
    </row>
    <row r="145" ht="14.25" customHeight="1">
      <c r="V145" s="110"/>
      <c r="AE145" s="110"/>
      <c r="AF145" s="111"/>
    </row>
    <row r="146" ht="14.25" customHeight="1">
      <c r="V146" s="110"/>
      <c r="AE146" s="110"/>
      <c r="AF146" s="111"/>
    </row>
    <row r="147" ht="14.25" customHeight="1">
      <c r="V147" s="110"/>
      <c r="AE147" s="110"/>
      <c r="AF147" s="111"/>
    </row>
    <row r="148" ht="14.25" customHeight="1">
      <c r="V148" s="110"/>
      <c r="AE148" s="110"/>
      <c r="AF148" s="111"/>
    </row>
    <row r="149" ht="14.25" customHeight="1">
      <c r="V149" s="110"/>
      <c r="AE149" s="110"/>
      <c r="AF149" s="111"/>
    </row>
    <row r="150" ht="14.25" customHeight="1">
      <c r="V150" s="110"/>
      <c r="AE150" s="110"/>
      <c r="AF150" s="111"/>
    </row>
    <row r="151" ht="14.25" customHeight="1">
      <c r="V151" s="110"/>
      <c r="AE151" s="110"/>
      <c r="AF151" s="111"/>
    </row>
    <row r="152" ht="14.25" customHeight="1">
      <c r="V152" s="110"/>
      <c r="AE152" s="110"/>
      <c r="AF152" s="111"/>
    </row>
    <row r="153" ht="14.25" customHeight="1">
      <c r="V153" s="110"/>
      <c r="AE153" s="110"/>
      <c r="AF153" s="111"/>
    </row>
    <row r="154" ht="14.25" customHeight="1">
      <c r="V154" s="110"/>
      <c r="AE154" s="110"/>
      <c r="AF154" s="111"/>
    </row>
    <row r="155" ht="14.25" customHeight="1">
      <c r="V155" s="110"/>
      <c r="AE155" s="110"/>
      <c r="AF155" s="111"/>
    </row>
    <row r="156" ht="14.25" customHeight="1">
      <c r="V156" s="110"/>
      <c r="AE156" s="110"/>
      <c r="AF156" s="111"/>
    </row>
    <row r="157" ht="14.25" customHeight="1">
      <c r="V157" s="110"/>
      <c r="AE157" s="110"/>
      <c r="AF157" s="111"/>
    </row>
    <row r="158" ht="14.25" customHeight="1">
      <c r="V158" s="110"/>
      <c r="AE158" s="110"/>
      <c r="AF158" s="111"/>
    </row>
    <row r="159" ht="14.25" customHeight="1">
      <c r="V159" s="110"/>
      <c r="AE159" s="110"/>
      <c r="AF159" s="111"/>
    </row>
    <row r="160" ht="14.25" customHeight="1">
      <c r="V160" s="110"/>
      <c r="AE160" s="110"/>
      <c r="AF160" s="111"/>
    </row>
    <row r="161" ht="14.25" customHeight="1">
      <c r="V161" s="110"/>
      <c r="AE161" s="110"/>
      <c r="AF161" s="111"/>
    </row>
    <row r="162" ht="14.25" customHeight="1">
      <c r="V162" s="110"/>
      <c r="AE162" s="110"/>
      <c r="AF162" s="111"/>
    </row>
    <row r="163" ht="14.25" customHeight="1">
      <c r="V163" s="110"/>
      <c r="AE163" s="110"/>
      <c r="AF163" s="111"/>
    </row>
    <row r="164" ht="14.25" customHeight="1">
      <c r="V164" s="110"/>
      <c r="AE164" s="110"/>
      <c r="AF164" s="111"/>
    </row>
    <row r="165" ht="14.25" customHeight="1">
      <c r="V165" s="110"/>
      <c r="AE165" s="110"/>
      <c r="AF165" s="111"/>
    </row>
    <row r="166" ht="14.25" customHeight="1">
      <c r="V166" s="110"/>
      <c r="AE166" s="110"/>
      <c r="AF166" s="111"/>
    </row>
    <row r="167" ht="14.25" customHeight="1">
      <c r="V167" s="110"/>
      <c r="AE167" s="110"/>
      <c r="AF167" s="111"/>
    </row>
    <row r="168" ht="14.25" customHeight="1">
      <c r="V168" s="110"/>
      <c r="AE168" s="110"/>
      <c r="AF168" s="111"/>
    </row>
    <row r="169" ht="14.25" customHeight="1">
      <c r="V169" s="110"/>
      <c r="AE169" s="110"/>
      <c r="AF169" s="111"/>
    </row>
    <row r="170" ht="14.25" customHeight="1">
      <c r="V170" s="110"/>
      <c r="AE170" s="110"/>
      <c r="AF170" s="111"/>
    </row>
    <row r="171" ht="14.25" customHeight="1">
      <c r="V171" s="110"/>
      <c r="AE171" s="110"/>
      <c r="AF171" s="111"/>
    </row>
    <row r="172" ht="14.25" customHeight="1">
      <c r="V172" s="110"/>
      <c r="AE172" s="110"/>
      <c r="AF172" s="111"/>
    </row>
    <row r="173" ht="14.25" customHeight="1">
      <c r="V173" s="110"/>
      <c r="AE173" s="110"/>
      <c r="AF173" s="111"/>
    </row>
    <row r="174" ht="14.25" customHeight="1">
      <c r="V174" s="110"/>
      <c r="AE174" s="110"/>
      <c r="AF174" s="111"/>
    </row>
    <row r="175" ht="14.25" customHeight="1">
      <c r="V175" s="110"/>
      <c r="AE175" s="110"/>
      <c r="AF175" s="111"/>
    </row>
    <row r="176" ht="14.25" customHeight="1">
      <c r="V176" s="110"/>
      <c r="AE176" s="110"/>
      <c r="AF176" s="111"/>
    </row>
    <row r="177" ht="14.25" customHeight="1">
      <c r="V177" s="110"/>
      <c r="AE177" s="110"/>
      <c r="AF177" s="111"/>
    </row>
    <row r="178" ht="14.25" customHeight="1">
      <c r="V178" s="110"/>
      <c r="AE178" s="110"/>
      <c r="AF178" s="111"/>
    </row>
    <row r="179" ht="14.25" customHeight="1">
      <c r="V179" s="110"/>
      <c r="AE179" s="110"/>
      <c r="AF179" s="111"/>
    </row>
    <row r="180" ht="14.25" customHeight="1">
      <c r="V180" s="110"/>
      <c r="AE180" s="110"/>
      <c r="AF180" s="111"/>
    </row>
    <row r="181" ht="14.25" customHeight="1">
      <c r="V181" s="110"/>
      <c r="AE181" s="110"/>
      <c r="AF181" s="111"/>
    </row>
    <row r="182" ht="14.25" customHeight="1">
      <c r="V182" s="110"/>
      <c r="AE182" s="110"/>
      <c r="AF182" s="111"/>
    </row>
    <row r="183" ht="14.25" customHeight="1">
      <c r="V183" s="110"/>
      <c r="AE183" s="110"/>
      <c r="AF183" s="111"/>
    </row>
    <row r="184" ht="14.25" customHeight="1">
      <c r="V184" s="110"/>
      <c r="AE184" s="110"/>
      <c r="AF184" s="111"/>
    </row>
    <row r="185" ht="14.25" customHeight="1">
      <c r="V185" s="110"/>
      <c r="AE185" s="110"/>
      <c r="AF185" s="111"/>
    </row>
    <row r="186" ht="14.25" customHeight="1">
      <c r="V186" s="110"/>
      <c r="AE186" s="110"/>
      <c r="AF186" s="111"/>
    </row>
    <row r="187" ht="14.25" customHeight="1">
      <c r="V187" s="110"/>
      <c r="AE187" s="110"/>
      <c r="AF187" s="111"/>
    </row>
    <row r="188" ht="14.25" customHeight="1">
      <c r="V188" s="110"/>
      <c r="AE188" s="110"/>
      <c r="AF188" s="111"/>
    </row>
    <row r="189" ht="14.25" customHeight="1">
      <c r="V189" s="110"/>
      <c r="AE189" s="110"/>
      <c r="AF189" s="111"/>
    </row>
    <row r="190" ht="14.25" customHeight="1">
      <c r="V190" s="110"/>
      <c r="AE190" s="110"/>
      <c r="AF190" s="111"/>
    </row>
    <row r="191" ht="14.25" customHeight="1">
      <c r="V191" s="110"/>
      <c r="AE191" s="110"/>
      <c r="AF191" s="111"/>
    </row>
    <row r="192" ht="14.25" customHeight="1">
      <c r="V192" s="110"/>
      <c r="AE192" s="110"/>
      <c r="AF192" s="111"/>
    </row>
    <row r="193" ht="14.25" customHeight="1">
      <c r="V193" s="110"/>
      <c r="AE193" s="110"/>
      <c r="AF193" s="111"/>
    </row>
    <row r="194" ht="14.25" customHeight="1">
      <c r="V194" s="110"/>
      <c r="AE194" s="110"/>
      <c r="AF194" s="111"/>
    </row>
    <row r="195" ht="14.25" customHeight="1">
      <c r="V195" s="110"/>
      <c r="AE195" s="110"/>
      <c r="AF195" s="111"/>
    </row>
    <row r="196" ht="14.25" customHeight="1">
      <c r="V196" s="110"/>
      <c r="AE196" s="110"/>
      <c r="AF196" s="111"/>
    </row>
    <row r="197" ht="14.25" customHeight="1">
      <c r="V197" s="110"/>
      <c r="AE197" s="110"/>
      <c r="AF197" s="111"/>
    </row>
    <row r="198" ht="14.25" customHeight="1">
      <c r="V198" s="110"/>
      <c r="AE198" s="110"/>
      <c r="AF198" s="111"/>
    </row>
    <row r="199" ht="14.25" customHeight="1">
      <c r="V199" s="110"/>
      <c r="AE199" s="110"/>
      <c r="AF199" s="111"/>
    </row>
    <row r="200" ht="14.25" customHeight="1">
      <c r="V200" s="110"/>
      <c r="AE200" s="110"/>
      <c r="AF200" s="111"/>
    </row>
    <row r="201" ht="14.25" customHeight="1">
      <c r="V201" s="110"/>
      <c r="AE201" s="110"/>
      <c r="AF201" s="111"/>
    </row>
    <row r="202" ht="14.25" customHeight="1">
      <c r="V202" s="110"/>
      <c r="AE202" s="110"/>
      <c r="AF202" s="111"/>
    </row>
    <row r="203" ht="14.25" customHeight="1">
      <c r="V203" s="110"/>
      <c r="AE203" s="110"/>
      <c r="AF203" s="111"/>
    </row>
    <row r="204" ht="14.25" customHeight="1">
      <c r="V204" s="110"/>
      <c r="AE204" s="110"/>
      <c r="AF204" s="111"/>
    </row>
    <row r="205" ht="14.25" customHeight="1">
      <c r="V205" s="110"/>
      <c r="AE205" s="110"/>
      <c r="AF205" s="111"/>
    </row>
    <row r="206" ht="14.25" customHeight="1">
      <c r="V206" s="110"/>
      <c r="AE206" s="110"/>
      <c r="AF206" s="111"/>
    </row>
    <row r="207" ht="14.25" customHeight="1">
      <c r="V207" s="110"/>
      <c r="AE207" s="110"/>
      <c r="AF207" s="111"/>
    </row>
    <row r="208" ht="14.25" customHeight="1">
      <c r="V208" s="110"/>
      <c r="AE208" s="110"/>
      <c r="AF208" s="111"/>
    </row>
    <row r="209" ht="14.25" customHeight="1">
      <c r="V209" s="110"/>
      <c r="AE209" s="110"/>
      <c r="AF209" s="111"/>
    </row>
    <row r="210" ht="14.25" customHeight="1">
      <c r="V210" s="110"/>
      <c r="AE210" s="110"/>
      <c r="AF210" s="111"/>
    </row>
    <row r="211" ht="14.25" customHeight="1">
      <c r="V211" s="110"/>
      <c r="AE211" s="110"/>
      <c r="AF211" s="111"/>
    </row>
    <row r="212" ht="14.25" customHeight="1">
      <c r="V212" s="110"/>
      <c r="AE212" s="110"/>
      <c r="AF212" s="111"/>
    </row>
    <row r="213" ht="14.25" customHeight="1">
      <c r="V213" s="110"/>
      <c r="AE213" s="110"/>
      <c r="AF213" s="111"/>
    </row>
    <row r="214" ht="14.25" customHeight="1">
      <c r="V214" s="110"/>
      <c r="AE214" s="110"/>
      <c r="AF214" s="111"/>
    </row>
    <row r="215" ht="14.25" customHeight="1">
      <c r="V215" s="110"/>
      <c r="AE215" s="110"/>
      <c r="AF215" s="111"/>
    </row>
    <row r="216" ht="14.25" customHeight="1">
      <c r="V216" s="110"/>
      <c r="AE216" s="110"/>
      <c r="AF216" s="111"/>
    </row>
    <row r="217" ht="14.25" customHeight="1">
      <c r="V217" s="110"/>
      <c r="AE217" s="110"/>
      <c r="AF217" s="111"/>
    </row>
    <row r="218" ht="14.25" customHeight="1">
      <c r="V218" s="110"/>
      <c r="AE218" s="110"/>
      <c r="AF218" s="111"/>
    </row>
    <row r="219" ht="14.25" customHeight="1">
      <c r="V219" s="110"/>
      <c r="AE219" s="110"/>
      <c r="AF219" s="111"/>
    </row>
    <row r="220" ht="14.25" customHeight="1">
      <c r="V220" s="110"/>
      <c r="AE220" s="110"/>
      <c r="AF220" s="111"/>
    </row>
    <row r="221" ht="14.25" customHeight="1">
      <c r="V221" s="110"/>
      <c r="AE221" s="110"/>
      <c r="AF221" s="111"/>
    </row>
    <row r="222" ht="14.25" customHeight="1">
      <c r="V222" s="110"/>
      <c r="AE222" s="110"/>
      <c r="AF222" s="111"/>
    </row>
    <row r="223" ht="14.25" customHeight="1">
      <c r="V223" s="110"/>
      <c r="AE223" s="110"/>
      <c r="AF223" s="111"/>
    </row>
    <row r="224" ht="14.25" customHeight="1">
      <c r="V224" s="110"/>
      <c r="AE224" s="110"/>
      <c r="AF224" s="111"/>
    </row>
    <row r="225" ht="14.25" customHeight="1">
      <c r="V225" s="110"/>
      <c r="AE225" s="110"/>
      <c r="AF225" s="111"/>
    </row>
    <row r="226" ht="14.25" customHeight="1">
      <c r="V226" s="110"/>
      <c r="AE226" s="110"/>
      <c r="AF226" s="111"/>
    </row>
    <row r="227" ht="14.25" customHeight="1">
      <c r="V227" s="110"/>
      <c r="AE227" s="110"/>
      <c r="AF227" s="111"/>
    </row>
    <row r="228" ht="14.25" customHeight="1">
      <c r="V228" s="110"/>
      <c r="AE228" s="110"/>
      <c r="AF228" s="111"/>
    </row>
    <row r="229" ht="14.25" customHeight="1">
      <c r="V229" s="110"/>
      <c r="AE229" s="110"/>
      <c r="AF229" s="111"/>
    </row>
    <row r="230" ht="14.25" customHeight="1">
      <c r="V230" s="110"/>
      <c r="AE230" s="110"/>
      <c r="AF230" s="111"/>
    </row>
    <row r="231" ht="14.25" customHeight="1">
      <c r="V231" s="110"/>
      <c r="AE231" s="110"/>
      <c r="AF231" s="111"/>
    </row>
    <row r="232" ht="14.25" customHeight="1">
      <c r="V232" s="110"/>
      <c r="AE232" s="110"/>
      <c r="AF232" s="111"/>
    </row>
    <row r="233" ht="14.25" customHeight="1">
      <c r="V233" s="110"/>
      <c r="AE233" s="110"/>
      <c r="AF233" s="111"/>
    </row>
    <row r="234" ht="14.25" customHeight="1">
      <c r="V234" s="110"/>
      <c r="AE234" s="110"/>
      <c r="AF234" s="111"/>
    </row>
    <row r="235" ht="14.25" customHeight="1">
      <c r="V235" s="110"/>
      <c r="AE235" s="110"/>
      <c r="AF235" s="111"/>
    </row>
    <row r="236" ht="14.25" customHeight="1">
      <c r="V236" s="110"/>
      <c r="AE236" s="110"/>
      <c r="AF236" s="111"/>
    </row>
    <row r="237" ht="14.25" customHeight="1">
      <c r="V237" s="110"/>
      <c r="AE237" s="110"/>
      <c r="AF237" s="111"/>
    </row>
    <row r="238" ht="14.25" customHeight="1">
      <c r="V238" s="110"/>
      <c r="AE238" s="110"/>
      <c r="AF238" s="111"/>
    </row>
    <row r="239" ht="14.25" customHeight="1">
      <c r="V239" s="110"/>
      <c r="AE239" s="110"/>
      <c r="AF239" s="111"/>
    </row>
    <row r="240" ht="14.25" customHeight="1">
      <c r="V240" s="110"/>
      <c r="AE240" s="110"/>
      <c r="AF240" s="111"/>
    </row>
    <row r="241" ht="14.25" customHeight="1">
      <c r="V241" s="110"/>
      <c r="AE241" s="110"/>
      <c r="AF241" s="111"/>
    </row>
    <row r="242" ht="14.25" customHeight="1">
      <c r="V242" s="110"/>
      <c r="AE242" s="110"/>
      <c r="AF242" s="111"/>
    </row>
    <row r="243" ht="14.25" customHeight="1">
      <c r="V243" s="110"/>
      <c r="AE243" s="110"/>
      <c r="AF243" s="111"/>
    </row>
    <row r="244" ht="14.25" customHeight="1">
      <c r="V244" s="110"/>
      <c r="AE244" s="110"/>
      <c r="AF244" s="111"/>
    </row>
    <row r="245" ht="14.25" customHeight="1">
      <c r="V245" s="110"/>
      <c r="AE245" s="110"/>
      <c r="AF245" s="111"/>
    </row>
    <row r="246" ht="14.25" customHeight="1">
      <c r="V246" s="110"/>
      <c r="AE246" s="110"/>
      <c r="AF246" s="111"/>
    </row>
    <row r="247" ht="14.25" customHeight="1">
      <c r="V247" s="110"/>
      <c r="AE247" s="110"/>
      <c r="AF247" s="111"/>
    </row>
    <row r="248" ht="14.25" customHeight="1">
      <c r="V248" s="110"/>
      <c r="AE248" s="110"/>
      <c r="AF248" s="111"/>
    </row>
    <row r="249" ht="14.25" customHeight="1">
      <c r="V249" s="110"/>
      <c r="AE249" s="110"/>
      <c r="AF249" s="111"/>
    </row>
    <row r="250" ht="14.25" customHeight="1">
      <c r="V250" s="110"/>
      <c r="AE250" s="110"/>
      <c r="AF250" s="111"/>
    </row>
    <row r="251" ht="14.25" customHeight="1">
      <c r="V251" s="110"/>
      <c r="AE251" s="110"/>
      <c r="AF251" s="111"/>
    </row>
    <row r="252" ht="14.25" customHeight="1">
      <c r="V252" s="110"/>
      <c r="AE252" s="110"/>
      <c r="AF252" s="111"/>
    </row>
    <row r="253" ht="14.25" customHeight="1">
      <c r="V253" s="110"/>
      <c r="AE253" s="110"/>
      <c r="AF253" s="111"/>
    </row>
    <row r="254" ht="14.25" customHeight="1">
      <c r="V254" s="110"/>
      <c r="AE254" s="110"/>
      <c r="AF254" s="111"/>
    </row>
    <row r="255" ht="14.25" customHeight="1">
      <c r="V255" s="110"/>
      <c r="AE255" s="110"/>
      <c r="AF255" s="111"/>
    </row>
    <row r="256" ht="14.25" customHeight="1">
      <c r="V256" s="110"/>
      <c r="AE256" s="110"/>
      <c r="AF256" s="111"/>
    </row>
    <row r="257" ht="14.25" customHeight="1">
      <c r="V257" s="110"/>
      <c r="AE257" s="110"/>
      <c r="AF257" s="111"/>
    </row>
    <row r="258" ht="14.25" customHeight="1">
      <c r="V258" s="110"/>
      <c r="AE258" s="110"/>
      <c r="AF258" s="111"/>
    </row>
    <row r="259" ht="14.25" customHeight="1">
      <c r="V259" s="110"/>
      <c r="AE259" s="110"/>
      <c r="AF259" s="111"/>
    </row>
    <row r="260" ht="14.25" customHeight="1">
      <c r="V260" s="110"/>
      <c r="AE260" s="110"/>
      <c r="AF260" s="111"/>
    </row>
    <row r="261" ht="14.25" customHeight="1">
      <c r="V261" s="110"/>
      <c r="AE261" s="110"/>
      <c r="AF261" s="111"/>
    </row>
    <row r="262" ht="14.25" customHeight="1">
      <c r="V262" s="110"/>
      <c r="AE262" s="110"/>
      <c r="AF262" s="111"/>
    </row>
    <row r="263" ht="14.25" customHeight="1">
      <c r="V263" s="110"/>
      <c r="AE263" s="110"/>
      <c r="AF263" s="111"/>
    </row>
    <row r="264" ht="14.25" customHeight="1">
      <c r="V264" s="110"/>
      <c r="AE264" s="110"/>
      <c r="AF264" s="111"/>
    </row>
    <row r="265" ht="14.25" customHeight="1">
      <c r="V265" s="110"/>
      <c r="AE265" s="110"/>
      <c r="AF265" s="111"/>
    </row>
    <row r="266" ht="14.25" customHeight="1">
      <c r="V266" s="110"/>
      <c r="AE266" s="110"/>
      <c r="AF266" s="111"/>
    </row>
    <row r="267" ht="14.25" customHeight="1">
      <c r="V267" s="110"/>
      <c r="AE267" s="110"/>
      <c r="AF267" s="111"/>
    </row>
    <row r="268" ht="14.25" customHeight="1">
      <c r="V268" s="110"/>
      <c r="AE268" s="110"/>
      <c r="AF268" s="111"/>
    </row>
    <row r="269" ht="14.25" customHeight="1">
      <c r="V269" s="110"/>
      <c r="AE269" s="110"/>
      <c r="AF269" s="111"/>
    </row>
    <row r="270" ht="14.25" customHeight="1">
      <c r="V270" s="110"/>
      <c r="AE270" s="110"/>
      <c r="AF270" s="111"/>
    </row>
    <row r="271" ht="14.25" customHeight="1">
      <c r="V271" s="110"/>
      <c r="AE271" s="110"/>
      <c r="AF271" s="111"/>
    </row>
    <row r="272" ht="14.25" customHeight="1">
      <c r="V272" s="110"/>
      <c r="AE272" s="110"/>
      <c r="AF272" s="111"/>
    </row>
    <row r="273" ht="14.25" customHeight="1">
      <c r="V273" s="110"/>
      <c r="AE273" s="110"/>
      <c r="AF273" s="111"/>
    </row>
    <row r="274" ht="14.25" customHeight="1">
      <c r="V274" s="110"/>
      <c r="AE274" s="110"/>
      <c r="AF274" s="111"/>
    </row>
    <row r="275" ht="14.25" customHeight="1">
      <c r="V275" s="110"/>
      <c r="AE275" s="110"/>
      <c r="AF275" s="111"/>
    </row>
    <row r="276" ht="14.25" customHeight="1">
      <c r="V276" s="110"/>
      <c r="AE276" s="110"/>
      <c r="AF276" s="111"/>
    </row>
    <row r="277" ht="14.25" customHeight="1">
      <c r="V277" s="110"/>
      <c r="AE277" s="110"/>
      <c r="AF277" s="111"/>
    </row>
    <row r="278" ht="14.25" customHeight="1">
      <c r="V278" s="110"/>
      <c r="AE278" s="110"/>
      <c r="AF278" s="111"/>
    </row>
    <row r="279" ht="14.25" customHeight="1">
      <c r="V279" s="110"/>
      <c r="AE279" s="110"/>
      <c r="AF279" s="111"/>
    </row>
    <row r="280" ht="14.25" customHeight="1">
      <c r="V280" s="110"/>
      <c r="AE280" s="110"/>
      <c r="AF280" s="111"/>
    </row>
    <row r="281" ht="14.25" customHeight="1">
      <c r="V281" s="110"/>
      <c r="AE281" s="110"/>
      <c r="AF281" s="111"/>
    </row>
    <row r="282" ht="14.25" customHeight="1">
      <c r="V282" s="110"/>
      <c r="AE282" s="110"/>
      <c r="AF282" s="111"/>
    </row>
    <row r="283" ht="14.25" customHeight="1">
      <c r="V283" s="110"/>
      <c r="AE283" s="110"/>
      <c r="AF283" s="111"/>
    </row>
    <row r="284" ht="14.25" customHeight="1">
      <c r="V284" s="110"/>
      <c r="AE284" s="110"/>
      <c r="AF284" s="111"/>
    </row>
    <row r="285" ht="14.25" customHeight="1">
      <c r="V285" s="110"/>
      <c r="AE285" s="110"/>
      <c r="AF285" s="111"/>
    </row>
    <row r="286" ht="14.25" customHeight="1">
      <c r="V286" s="110"/>
      <c r="AE286" s="110"/>
      <c r="AF286" s="111"/>
    </row>
    <row r="287" ht="14.25" customHeight="1">
      <c r="V287" s="110"/>
      <c r="AE287" s="110"/>
      <c r="AF287" s="111"/>
    </row>
    <row r="288" ht="14.25" customHeight="1">
      <c r="V288" s="110"/>
      <c r="AE288" s="110"/>
      <c r="AF288" s="111"/>
    </row>
    <row r="289" ht="14.25" customHeight="1">
      <c r="V289" s="110"/>
      <c r="AE289" s="110"/>
      <c r="AF289" s="111"/>
    </row>
    <row r="290" ht="14.25" customHeight="1">
      <c r="V290" s="110"/>
      <c r="AE290" s="110"/>
      <c r="AF290" s="111"/>
    </row>
    <row r="291" ht="14.25" customHeight="1">
      <c r="V291" s="110"/>
      <c r="AE291" s="110"/>
      <c r="AF291" s="111"/>
    </row>
    <row r="292" ht="14.25" customHeight="1">
      <c r="V292" s="110"/>
      <c r="AE292" s="110"/>
      <c r="AF292" s="111"/>
    </row>
    <row r="293" ht="14.25" customHeight="1">
      <c r="V293" s="110"/>
      <c r="AE293" s="110"/>
      <c r="AF293" s="111"/>
    </row>
    <row r="294" ht="14.25" customHeight="1">
      <c r="V294" s="110"/>
      <c r="AE294" s="110"/>
      <c r="AF294" s="111"/>
    </row>
    <row r="295" ht="14.25" customHeight="1">
      <c r="V295" s="110"/>
      <c r="AE295" s="110"/>
      <c r="AF295" s="111"/>
    </row>
    <row r="296" ht="14.25" customHeight="1">
      <c r="V296" s="110"/>
      <c r="AE296" s="110"/>
      <c r="AF296" s="111"/>
    </row>
    <row r="297" ht="14.25" customHeight="1">
      <c r="V297" s="110"/>
      <c r="AE297" s="110"/>
      <c r="AF297" s="111"/>
    </row>
    <row r="298" ht="14.25" customHeight="1">
      <c r="V298" s="110"/>
      <c r="AE298" s="110"/>
      <c r="AF298" s="111"/>
    </row>
    <row r="299" ht="14.25" customHeight="1">
      <c r="V299" s="110"/>
      <c r="AE299" s="110"/>
      <c r="AF299" s="111"/>
    </row>
    <row r="300" ht="14.25" customHeight="1">
      <c r="V300" s="110"/>
      <c r="AE300" s="110"/>
      <c r="AF300" s="111"/>
    </row>
    <row r="301" ht="14.25" customHeight="1">
      <c r="V301" s="110"/>
      <c r="AE301" s="110"/>
      <c r="AF301" s="111"/>
    </row>
    <row r="302" ht="14.25" customHeight="1">
      <c r="V302" s="110"/>
      <c r="AE302" s="110"/>
      <c r="AF302" s="111"/>
    </row>
    <row r="303" ht="14.25" customHeight="1">
      <c r="V303" s="110"/>
      <c r="AE303" s="110"/>
      <c r="AF303" s="111"/>
    </row>
    <row r="304" ht="14.25" customHeight="1">
      <c r="V304" s="110"/>
      <c r="AE304" s="110"/>
      <c r="AF304" s="111"/>
    </row>
    <row r="305" ht="14.25" customHeight="1">
      <c r="V305" s="110"/>
      <c r="AE305" s="110"/>
      <c r="AF305" s="111"/>
    </row>
    <row r="306" ht="14.25" customHeight="1">
      <c r="V306" s="110"/>
      <c r="AE306" s="110"/>
      <c r="AF306" s="111"/>
    </row>
    <row r="307" ht="14.25" customHeight="1">
      <c r="V307" s="110"/>
      <c r="AE307" s="110"/>
      <c r="AF307" s="111"/>
    </row>
    <row r="308" ht="14.25" customHeight="1">
      <c r="V308" s="110"/>
      <c r="AE308" s="110"/>
      <c r="AF308" s="111"/>
    </row>
    <row r="309" ht="14.25" customHeight="1">
      <c r="V309" s="110"/>
      <c r="AE309" s="110"/>
      <c r="AF309" s="111"/>
    </row>
    <row r="310" ht="14.25" customHeight="1">
      <c r="V310" s="110"/>
      <c r="AE310" s="110"/>
      <c r="AF310" s="111"/>
    </row>
    <row r="311" ht="14.25" customHeight="1">
      <c r="V311" s="110"/>
      <c r="AE311" s="110"/>
      <c r="AF311" s="111"/>
    </row>
    <row r="312" ht="14.25" customHeight="1">
      <c r="V312" s="110"/>
      <c r="AE312" s="110"/>
      <c r="AF312" s="111"/>
    </row>
    <row r="313" ht="14.25" customHeight="1">
      <c r="V313" s="110"/>
      <c r="AE313" s="110"/>
      <c r="AF313" s="111"/>
    </row>
    <row r="314" ht="14.25" customHeight="1">
      <c r="V314" s="110"/>
      <c r="AE314" s="110"/>
      <c r="AF314" s="111"/>
    </row>
    <row r="315" ht="14.25" customHeight="1">
      <c r="V315" s="110"/>
      <c r="AE315" s="110"/>
      <c r="AF315" s="111"/>
    </row>
    <row r="316" ht="14.25" customHeight="1">
      <c r="V316" s="110"/>
      <c r="AE316" s="110"/>
      <c r="AF316" s="111"/>
    </row>
    <row r="317" ht="14.25" customHeight="1">
      <c r="V317" s="110"/>
      <c r="AE317" s="110"/>
      <c r="AF317" s="111"/>
    </row>
    <row r="318" ht="14.25" customHeight="1">
      <c r="V318" s="110"/>
      <c r="AE318" s="110"/>
      <c r="AF318" s="111"/>
    </row>
    <row r="319" ht="14.25" customHeight="1">
      <c r="V319" s="110"/>
      <c r="AE319" s="110"/>
      <c r="AF319" s="111"/>
    </row>
    <row r="320" ht="14.25" customHeight="1">
      <c r="V320" s="110"/>
      <c r="AE320" s="110"/>
      <c r="AF320" s="111"/>
    </row>
    <row r="321" ht="14.25" customHeight="1">
      <c r="V321" s="110"/>
      <c r="AE321" s="110"/>
      <c r="AF321" s="111"/>
    </row>
    <row r="322" ht="14.25" customHeight="1">
      <c r="V322" s="110"/>
      <c r="AE322" s="110"/>
      <c r="AF322" s="111"/>
    </row>
    <row r="323" ht="14.25" customHeight="1">
      <c r="V323" s="110"/>
      <c r="AE323" s="110"/>
      <c r="AF323" s="111"/>
    </row>
    <row r="324" ht="14.25" customHeight="1">
      <c r="V324" s="110"/>
      <c r="AE324" s="110"/>
      <c r="AF324" s="111"/>
    </row>
    <row r="325" ht="14.25" customHeight="1">
      <c r="V325" s="110"/>
      <c r="AE325" s="110"/>
      <c r="AF325" s="111"/>
    </row>
    <row r="326" ht="14.25" customHeight="1">
      <c r="V326" s="110"/>
      <c r="AE326" s="110"/>
      <c r="AF326" s="111"/>
    </row>
    <row r="327" ht="14.25" customHeight="1">
      <c r="V327" s="110"/>
      <c r="AE327" s="110"/>
      <c r="AF327" s="111"/>
    </row>
    <row r="328" ht="14.25" customHeight="1">
      <c r="V328" s="110"/>
      <c r="AE328" s="110"/>
      <c r="AF328" s="111"/>
    </row>
    <row r="329" ht="14.25" customHeight="1">
      <c r="V329" s="110"/>
      <c r="AE329" s="110"/>
      <c r="AF329" s="111"/>
    </row>
    <row r="330" ht="14.25" customHeight="1">
      <c r="V330" s="110"/>
      <c r="AE330" s="110"/>
      <c r="AF330" s="111"/>
    </row>
    <row r="331" ht="14.25" customHeight="1">
      <c r="V331" s="110"/>
      <c r="AE331" s="110"/>
      <c r="AF331" s="111"/>
    </row>
    <row r="332" ht="14.25" customHeight="1">
      <c r="V332" s="110"/>
      <c r="AE332" s="110"/>
      <c r="AF332" s="111"/>
    </row>
    <row r="333" ht="14.25" customHeight="1">
      <c r="V333" s="110"/>
      <c r="AE333" s="110"/>
      <c r="AF333" s="111"/>
    </row>
    <row r="334" ht="14.25" customHeight="1">
      <c r="V334" s="110"/>
      <c r="AE334" s="110"/>
      <c r="AF334" s="111"/>
    </row>
    <row r="335" ht="14.25" customHeight="1">
      <c r="V335" s="110"/>
      <c r="AE335" s="110"/>
      <c r="AF335" s="111"/>
    </row>
    <row r="336" ht="14.25" customHeight="1">
      <c r="V336" s="110"/>
      <c r="AE336" s="110"/>
      <c r="AF336" s="111"/>
    </row>
    <row r="337" ht="14.25" customHeight="1">
      <c r="V337" s="110"/>
      <c r="AE337" s="110"/>
      <c r="AF337" s="111"/>
    </row>
    <row r="338" ht="14.25" customHeight="1">
      <c r="V338" s="110"/>
      <c r="AE338" s="110"/>
      <c r="AF338" s="111"/>
    </row>
    <row r="339" ht="14.25" customHeight="1">
      <c r="V339" s="110"/>
      <c r="AE339" s="110"/>
      <c r="AF339" s="111"/>
    </row>
    <row r="340" ht="14.25" customHeight="1">
      <c r="V340" s="110"/>
      <c r="AE340" s="110"/>
      <c r="AF340" s="111"/>
    </row>
    <row r="341" ht="14.25" customHeight="1">
      <c r="V341" s="110"/>
      <c r="AE341" s="110"/>
      <c r="AF341" s="111"/>
    </row>
    <row r="342" ht="14.25" customHeight="1">
      <c r="V342" s="110"/>
      <c r="AE342" s="110"/>
      <c r="AF342" s="111"/>
    </row>
    <row r="343" ht="14.25" customHeight="1">
      <c r="V343" s="110"/>
      <c r="AE343" s="110"/>
      <c r="AF343" s="111"/>
    </row>
    <row r="344" ht="14.25" customHeight="1">
      <c r="V344" s="110"/>
      <c r="AE344" s="110"/>
      <c r="AF344" s="111"/>
    </row>
    <row r="345" ht="14.25" customHeight="1">
      <c r="V345" s="110"/>
      <c r="AE345" s="110"/>
      <c r="AF345" s="111"/>
    </row>
    <row r="346" ht="14.25" customHeight="1">
      <c r="V346" s="110"/>
      <c r="AE346" s="110"/>
      <c r="AF346" s="111"/>
    </row>
    <row r="347" ht="14.25" customHeight="1">
      <c r="V347" s="110"/>
      <c r="AE347" s="110"/>
      <c r="AF347" s="111"/>
    </row>
    <row r="348" ht="14.25" customHeight="1">
      <c r="V348" s="110"/>
      <c r="AE348" s="110"/>
      <c r="AF348" s="111"/>
    </row>
    <row r="349" ht="14.25" customHeight="1">
      <c r="V349" s="110"/>
      <c r="AE349" s="110"/>
      <c r="AF349" s="111"/>
    </row>
    <row r="350" ht="14.25" customHeight="1">
      <c r="V350" s="110"/>
      <c r="AE350" s="110"/>
      <c r="AF350" s="111"/>
    </row>
    <row r="351" ht="14.25" customHeight="1">
      <c r="V351" s="110"/>
      <c r="AE351" s="110"/>
      <c r="AF351" s="111"/>
    </row>
    <row r="352" ht="14.25" customHeight="1">
      <c r="V352" s="110"/>
      <c r="AE352" s="110"/>
      <c r="AF352" s="111"/>
    </row>
    <row r="353" ht="14.25" customHeight="1">
      <c r="V353" s="110"/>
      <c r="AE353" s="110"/>
      <c r="AF353" s="111"/>
    </row>
    <row r="354" ht="14.25" customHeight="1">
      <c r="V354" s="110"/>
      <c r="AE354" s="110"/>
      <c r="AF354" s="111"/>
    </row>
    <row r="355" ht="14.25" customHeight="1">
      <c r="V355" s="110"/>
      <c r="AE355" s="110"/>
      <c r="AF355" s="111"/>
    </row>
    <row r="356" ht="14.25" customHeight="1">
      <c r="V356" s="110"/>
      <c r="AE356" s="110"/>
      <c r="AF356" s="111"/>
    </row>
    <row r="357" ht="14.25" customHeight="1">
      <c r="V357" s="110"/>
      <c r="AE357" s="110"/>
      <c r="AF357" s="111"/>
    </row>
    <row r="358" ht="14.25" customHeight="1">
      <c r="V358" s="110"/>
      <c r="AE358" s="110"/>
      <c r="AF358" s="111"/>
    </row>
    <row r="359" ht="14.25" customHeight="1">
      <c r="V359" s="110"/>
      <c r="AE359" s="110"/>
      <c r="AF359" s="111"/>
    </row>
    <row r="360" ht="14.25" customHeight="1">
      <c r="V360" s="110"/>
      <c r="AE360" s="110"/>
      <c r="AF360" s="111"/>
    </row>
    <row r="361" ht="14.25" customHeight="1">
      <c r="V361" s="110"/>
      <c r="AE361" s="110"/>
      <c r="AF361" s="111"/>
    </row>
    <row r="362" ht="14.25" customHeight="1">
      <c r="V362" s="110"/>
      <c r="AE362" s="110"/>
      <c r="AF362" s="111"/>
    </row>
    <row r="363" ht="14.25" customHeight="1">
      <c r="V363" s="110"/>
      <c r="AE363" s="110"/>
      <c r="AF363" s="111"/>
    </row>
    <row r="364" ht="14.25" customHeight="1">
      <c r="V364" s="110"/>
      <c r="AE364" s="110"/>
      <c r="AF364" s="111"/>
    </row>
    <row r="365" ht="14.25" customHeight="1">
      <c r="V365" s="110"/>
      <c r="AE365" s="110"/>
      <c r="AF365" s="111"/>
    </row>
    <row r="366" ht="14.25" customHeight="1">
      <c r="V366" s="110"/>
      <c r="AE366" s="110"/>
      <c r="AF366" s="111"/>
    </row>
    <row r="367" ht="14.25" customHeight="1">
      <c r="V367" s="110"/>
      <c r="AE367" s="110"/>
      <c r="AF367" s="111"/>
    </row>
    <row r="368" ht="14.25" customHeight="1">
      <c r="V368" s="110"/>
      <c r="AE368" s="110"/>
      <c r="AF368" s="111"/>
    </row>
    <row r="369" ht="14.25" customHeight="1">
      <c r="V369" s="110"/>
      <c r="AE369" s="110"/>
      <c r="AF369" s="111"/>
    </row>
    <row r="370" ht="14.25" customHeight="1">
      <c r="V370" s="110"/>
      <c r="AE370" s="110"/>
      <c r="AF370" s="111"/>
    </row>
    <row r="371" ht="14.25" customHeight="1">
      <c r="V371" s="110"/>
      <c r="AE371" s="110"/>
      <c r="AF371" s="111"/>
    </row>
    <row r="372" ht="14.25" customHeight="1">
      <c r="V372" s="110"/>
      <c r="AE372" s="110"/>
      <c r="AF372" s="111"/>
    </row>
    <row r="373" ht="14.25" customHeight="1">
      <c r="V373" s="110"/>
      <c r="AE373" s="110"/>
      <c r="AF373" s="111"/>
    </row>
    <row r="374" ht="14.25" customHeight="1">
      <c r="V374" s="110"/>
      <c r="AE374" s="110"/>
      <c r="AF374" s="111"/>
    </row>
    <row r="375" ht="14.25" customHeight="1">
      <c r="V375" s="110"/>
      <c r="AE375" s="110"/>
      <c r="AF375" s="111"/>
    </row>
    <row r="376" ht="14.25" customHeight="1">
      <c r="V376" s="110"/>
      <c r="AE376" s="110"/>
      <c r="AF376" s="111"/>
    </row>
    <row r="377" ht="14.25" customHeight="1">
      <c r="V377" s="110"/>
      <c r="AE377" s="110"/>
      <c r="AF377" s="111"/>
    </row>
    <row r="378" ht="14.25" customHeight="1">
      <c r="V378" s="110"/>
      <c r="AE378" s="110"/>
      <c r="AF378" s="111"/>
    </row>
    <row r="379" ht="14.25" customHeight="1">
      <c r="V379" s="110"/>
      <c r="AE379" s="110"/>
      <c r="AF379" s="111"/>
    </row>
    <row r="380" ht="14.25" customHeight="1">
      <c r="V380" s="110"/>
      <c r="AE380" s="110"/>
      <c r="AF380" s="111"/>
    </row>
    <row r="381" ht="14.25" customHeight="1">
      <c r="V381" s="110"/>
      <c r="AE381" s="110"/>
      <c r="AF381" s="111"/>
    </row>
    <row r="382" ht="14.25" customHeight="1">
      <c r="V382" s="110"/>
      <c r="AE382" s="110"/>
      <c r="AF382" s="111"/>
    </row>
    <row r="383" ht="14.25" customHeight="1">
      <c r="V383" s="110"/>
      <c r="AE383" s="110"/>
      <c r="AF383" s="111"/>
    </row>
    <row r="384" ht="14.25" customHeight="1">
      <c r="V384" s="110"/>
      <c r="AE384" s="110"/>
      <c r="AF384" s="111"/>
    </row>
    <row r="385" ht="14.25" customHeight="1">
      <c r="V385" s="110"/>
      <c r="AE385" s="110"/>
      <c r="AF385" s="111"/>
    </row>
    <row r="386" ht="14.25" customHeight="1">
      <c r="V386" s="110"/>
      <c r="AE386" s="110"/>
      <c r="AF386" s="111"/>
    </row>
    <row r="387" ht="14.25" customHeight="1">
      <c r="V387" s="110"/>
      <c r="AE387" s="110"/>
      <c r="AF387" s="111"/>
    </row>
    <row r="388" ht="14.25" customHeight="1">
      <c r="V388" s="110"/>
      <c r="AE388" s="110"/>
      <c r="AF388" s="111"/>
    </row>
    <row r="389" ht="14.25" customHeight="1">
      <c r="V389" s="110"/>
      <c r="AE389" s="110"/>
      <c r="AF389" s="111"/>
    </row>
    <row r="390" ht="14.25" customHeight="1">
      <c r="V390" s="110"/>
      <c r="AE390" s="110"/>
      <c r="AF390" s="111"/>
    </row>
    <row r="391" ht="14.25" customHeight="1">
      <c r="V391" s="110"/>
      <c r="AE391" s="110"/>
      <c r="AF391" s="111"/>
    </row>
    <row r="392" ht="14.25" customHeight="1">
      <c r="V392" s="110"/>
      <c r="AE392" s="110"/>
      <c r="AF392" s="111"/>
    </row>
    <row r="393" ht="14.25" customHeight="1">
      <c r="V393" s="110"/>
      <c r="AE393" s="110"/>
      <c r="AF393" s="111"/>
    </row>
    <row r="394" ht="14.25" customHeight="1">
      <c r="V394" s="110"/>
      <c r="AE394" s="110"/>
      <c r="AF394" s="111"/>
    </row>
    <row r="395" ht="14.25" customHeight="1">
      <c r="V395" s="110"/>
      <c r="AE395" s="110"/>
      <c r="AF395" s="111"/>
    </row>
    <row r="396" ht="14.25" customHeight="1">
      <c r="V396" s="110"/>
      <c r="AE396" s="110"/>
      <c r="AF396" s="111"/>
    </row>
    <row r="397" ht="14.25" customHeight="1">
      <c r="V397" s="110"/>
      <c r="AE397" s="110"/>
      <c r="AF397" s="111"/>
    </row>
    <row r="398" ht="14.25" customHeight="1">
      <c r="V398" s="110"/>
      <c r="AE398" s="110"/>
      <c r="AF398" s="111"/>
    </row>
    <row r="399" ht="14.25" customHeight="1">
      <c r="V399" s="110"/>
      <c r="AE399" s="110"/>
      <c r="AF399" s="111"/>
    </row>
    <row r="400" ht="14.25" customHeight="1">
      <c r="V400" s="110"/>
      <c r="AE400" s="110"/>
      <c r="AF400" s="111"/>
    </row>
    <row r="401" ht="14.25" customHeight="1">
      <c r="V401" s="110"/>
      <c r="AE401" s="110"/>
      <c r="AF401" s="111"/>
    </row>
    <row r="402" ht="14.25" customHeight="1">
      <c r="V402" s="110"/>
      <c r="AE402" s="110"/>
      <c r="AF402" s="111"/>
    </row>
    <row r="403" ht="14.25" customHeight="1">
      <c r="V403" s="110"/>
      <c r="AE403" s="110"/>
      <c r="AF403" s="111"/>
    </row>
    <row r="404" ht="14.25" customHeight="1">
      <c r="V404" s="110"/>
      <c r="AE404" s="110"/>
      <c r="AF404" s="111"/>
    </row>
    <row r="405" ht="14.25" customHeight="1">
      <c r="V405" s="110"/>
      <c r="AE405" s="110"/>
      <c r="AF405" s="111"/>
    </row>
    <row r="406" ht="14.25" customHeight="1">
      <c r="V406" s="110"/>
      <c r="AE406" s="110"/>
      <c r="AF406" s="111"/>
    </row>
    <row r="407" ht="14.25" customHeight="1">
      <c r="V407" s="110"/>
      <c r="AE407" s="110"/>
      <c r="AF407" s="111"/>
    </row>
    <row r="408" ht="14.25" customHeight="1">
      <c r="V408" s="110"/>
      <c r="AE408" s="110"/>
      <c r="AF408" s="111"/>
    </row>
    <row r="409" ht="14.25" customHeight="1">
      <c r="V409" s="110"/>
      <c r="AE409" s="110"/>
      <c r="AF409" s="111"/>
    </row>
    <row r="410" ht="14.25" customHeight="1">
      <c r="V410" s="110"/>
      <c r="AE410" s="110"/>
      <c r="AF410" s="111"/>
    </row>
    <row r="411" ht="14.25" customHeight="1">
      <c r="V411" s="110"/>
      <c r="AE411" s="110"/>
      <c r="AF411" s="111"/>
    </row>
    <row r="412" ht="14.25" customHeight="1">
      <c r="V412" s="110"/>
      <c r="AE412" s="110"/>
      <c r="AF412" s="111"/>
    </row>
    <row r="413" ht="14.25" customHeight="1">
      <c r="V413" s="110"/>
      <c r="AE413" s="110"/>
      <c r="AF413" s="111"/>
    </row>
    <row r="414" ht="14.25" customHeight="1">
      <c r="V414" s="110"/>
      <c r="AE414" s="110"/>
      <c r="AF414" s="111"/>
    </row>
    <row r="415" ht="14.25" customHeight="1">
      <c r="V415" s="110"/>
      <c r="AE415" s="110"/>
      <c r="AF415" s="111"/>
    </row>
    <row r="416" ht="14.25" customHeight="1">
      <c r="V416" s="110"/>
      <c r="AE416" s="110"/>
      <c r="AF416" s="111"/>
    </row>
    <row r="417" ht="14.25" customHeight="1">
      <c r="V417" s="110"/>
      <c r="AE417" s="110"/>
      <c r="AF417" s="111"/>
    </row>
    <row r="418" ht="14.25" customHeight="1">
      <c r="V418" s="110"/>
      <c r="AE418" s="110"/>
      <c r="AF418" s="111"/>
    </row>
    <row r="419" ht="14.25" customHeight="1">
      <c r="V419" s="110"/>
      <c r="AE419" s="110"/>
      <c r="AF419" s="111"/>
    </row>
    <row r="420" ht="14.25" customHeight="1">
      <c r="V420" s="110"/>
      <c r="AE420" s="110"/>
      <c r="AF420" s="111"/>
    </row>
    <row r="421" ht="14.25" customHeight="1">
      <c r="V421" s="110"/>
      <c r="AE421" s="110"/>
      <c r="AF421" s="111"/>
    </row>
    <row r="422" ht="14.25" customHeight="1">
      <c r="V422" s="110"/>
      <c r="AE422" s="110"/>
      <c r="AF422" s="111"/>
    </row>
    <row r="423" ht="14.25" customHeight="1">
      <c r="V423" s="110"/>
      <c r="AE423" s="110"/>
      <c r="AF423" s="111"/>
    </row>
    <row r="424" ht="14.25" customHeight="1">
      <c r="V424" s="110"/>
      <c r="AE424" s="110"/>
      <c r="AF424" s="111"/>
    </row>
    <row r="425" ht="14.25" customHeight="1">
      <c r="V425" s="110"/>
      <c r="AE425" s="110"/>
      <c r="AF425" s="111"/>
    </row>
    <row r="426" ht="14.25" customHeight="1">
      <c r="V426" s="110"/>
      <c r="AE426" s="110"/>
      <c r="AF426" s="111"/>
    </row>
    <row r="427" ht="14.25" customHeight="1">
      <c r="V427" s="110"/>
      <c r="AE427" s="110"/>
      <c r="AF427" s="111"/>
    </row>
    <row r="428" ht="14.25" customHeight="1">
      <c r="V428" s="110"/>
      <c r="AE428" s="110"/>
      <c r="AF428" s="111"/>
    </row>
    <row r="429" ht="14.25" customHeight="1">
      <c r="V429" s="110"/>
      <c r="AE429" s="110"/>
      <c r="AF429" s="111"/>
    </row>
    <row r="430" ht="14.25" customHeight="1">
      <c r="V430" s="110"/>
      <c r="AE430" s="110"/>
      <c r="AF430" s="111"/>
    </row>
    <row r="431" ht="14.25" customHeight="1">
      <c r="V431" s="110"/>
      <c r="AE431" s="110"/>
      <c r="AF431" s="111"/>
    </row>
    <row r="432" ht="14.25" customHeight="1">
      <c r="V432" s="110"/>
      <c r="AE432" s="110"/>
      <c r="AF432" s="111"/>
    </row>
    <row r="433" ht="14.25" customHeight="1">
      <c r="V433" s="110"/>
      <c r="AE433" s="110"/>
      <c r="AF433" s="111"/>
    </row>
    <row r="434" ht="14.25" customHeight="1">
      <c r="V434" s="110"/>
      <c r="AE434" s="110"/>
      <c r="AF434" s="111"/>
    </row>
    <row r="435" ht="14.25" customHeight="1">
      <c r="V435" s="110"/>
      <c r="AE435" s="110"/>
      <c r="AF435" s="111"/>
    </row>
    <row r="436" ht="14.25" customHeight="1">
      <c r="V436" s="110"/>
      <c r="AE436" s="110"/>
      <c r="AF436" s="111"/>
    </row>
    <row r="437" ht="14.25" customHeight="1">
      <c r="V437" s="110"/>
      <c r="AE437" s="110"/>
      <c r="AF437" s="111"/>
    </row>
    <row r="438" ht="14.25" customHeight="1">
      <c r="V438" s="110"/>
      <c r="AE438" s="110"/>
      <c r="AF438" s="111"/>
    </row>
    <row r="439" ht="14.25" customHeight="1">
      <c r="V439" s="110"/>
      <c r="AE439" s="110"/>
      <c r="AF439" s="111"/>
    </row>
    <row r="440" ht="14.25" customHeight="1">
      <c r="V440" s="110"/>
      <c r="AE440" s="110"/>
      <c r="AF440" s="111"/>
    </row>
    <row r="441" ht="14.25" customHeight="1">
      <c r="V441" s="110"/>
      <c r="AE441" s="110"/>
      <c r="AF441" s="111"/>
    </row>
    <row r="442" ht="14.25" customHeight="1">
      <c r="V442" s="110"/>
      <c r="AE442" s="110"/>
      <c r="AF442" s="111"/>
    </row>
    <row r="443" ht="14.25" customHeight="1">
      <c r="V443" s="110"/>
      <c r="AE443" s="110"/>
      <c r="AF443" s="111"/>
    </row>
    <row r="444" ht="14.25" customHeight="1">
      <c r="V444" s="110"/>
      <c r="AE444" s="110"/>
      <c r="AF444" s="111"/>
    </row>
    <row r="445" ht="14.25" customHeight="1">
      <c r="V445" s="110"/>
      <c r="AE445" s="110"/>
      <c r="AF445" s="111"/>
    </row>
    <row r="446" ht="14.25" customHeight="1">
      <c r="V446" s="110"/>
      <c r="AE446" s="110"/>
      <c r="AF446" s="111"/>
    </row>
    <row r="447" ht="14.25" customHeight="1">
      <c r="V447" s="110"/>
      <c r="AE447" s="110"/>
      <c r="AF447" s="111"/>
    </row>
    <row r="448" ht="14.25" customHeight="1">
      <c r="V448" s="110"/>
      <c r="AE448" s="110"/>
      <c r="AF448" s="111"/>
    </row>
    <row r="449" ht="14.25" customHeight="1">
      <c r="V449" s="110"/>
      <c r="AE449" s="110"/>
      <c r="AF449" s="111"/>
    </row>
    <row r="450" ht="14.25" customHeight="1">
      <c r="V450" s="110"/>
      <c r="AE450" s="110"/>
      <c r="AF450" s="111"/>
    </row>
    <row r="451" ht="14.25" customHeight="1">
      <c r="V451" s="110"/>
      <c r="AE451" s="110"/>
      <c r="AF451" s="111"/>
    </row>
    <row r="452" ht="14.25" customHeight="1">
      <c r="V452" s="110"/>
      <c r="AE452" s="110"/>
      <c r="AF452" s="111"/>
    </row>
    <row r="453" ht="14.25" customHeight="1">
      <c r="V453" s="110"/>
      <c r="AE453" s="110"/>
      <c r="AF453" s="111"/>
    </row>
    <row r="454" ht="14.25" customHeight="1">
      <c r="V454" s="110"/>
      <c r="AE454" s="110"/>
      <c r="AF454" s="111"/>
    </row>
    <row r="455" ht="14.25" customHeight="1">
      <c r="V455" s="110"/>
      <c r="AE455" s="110"/>
      <c r="AF455" s="111"/>
    </row>
    <row r="456" ht="14.25" customHeight="1">
      <c r="V456" s="110"/>
      <c r="AE456" s="110"/>
      <c r="AF456" s="111"/>
    </row>
    <row r="457" ht="14.25" customHeight="1">
      <c r="V457" s="110"/>
      <c r="AE457" s="110"/>
      <c r="AF457" s="111"/>
    </row>
    <row r="458" ht="14.25" customHeight="1">
      <c r="V458" s="110"/>
      <c r="AE458" s="110"/>
      <c r="AF458" s="111"/>
    </row>
    <row r="459" ht="14.25" customHeight="1">
      <c r="V459" s="110"/>
      <c r="AE459" s="110"/>
      <c r="AF459" s="111"/>
    </row>
    <row r="460" ht="14.25" customHeight="1">
      <c r="V460" s="110"/>
      <c r="AE460" s="110"/>
      <c r="AF460" s="111"/>
    </row>
    <row r="461" ht="14.25" customHeight="1">
      <c r="V461" s="110"/>
      <c r="AE461" s="110"/>
      <c r="AF461" s="111"/>
    </row>
    <row r="462" ht="14.25" customHeight="1">
      <c r="V462" s="110"/>
      <c r="AE462" s="110"/>
      <c r="AF462" s="111"/>
    </row>
    <row r="463" ht="14.25" customHeight="1">
      <c r="V463" s="110"/>
      <c r="AE463" s="110"/>
      <c r="AF463" s="111"/>
    </row>
    <row r="464" ht="14.25" customHeight="1">
      <c r="V464" s="110"/>
      <c r="AE464" s="110"/>
      <c r="AF464" s="111"/>
    </row>
    <row r="465" ht="14.25" customHeight="1">
      <c r="V465" s="110"/>
      <c r="AE465" s="110"/>
      <c r="AF465" s="111"/>
    </row>
    <row r="466" ht="14.25" customHeight="1">
      <c r="V466" s="110"/>
      <c r="AE466" s="110"/>
      <c r="AF466" s="111"/>
    </row>
    <row r="467" ht="14.25" customHeight="1">
      <c r="V467" s="110"/>
      <c r="AE467" s="110"/>
      <c r="AF467" s="111"/>
    </row>
    <row r="468" ht="14.25" customHeight="1">
      <c r="V468" s="110"/>
      <c r="AE468" s="110"/>
      <c r="AF468" s="111"/>
    </row>
    <row r="469" ht="14.25" customHeight="1">
      <c r="V469" s="110"/>
      <c r="AE469" s="110"/>
      <c r="AF469" s="111"/>
    </row>
    <row r="470" ht="14.25" customHeight="1">
      <c r="V470" s="110"/>
      <c r="AE470" s="110"/>
      <c r="AF470" s="111"/>
    </row>
    <row r="471" ht="14.25" customHeight="1">
      <c r="V471" s="110"/>
      <c r="AE471" s="110"/>
      <c r="AF471" s="111"/>
    </row>
    <row r="472" ht="14.25" customHeight="1">
      <c r="V472" s="110"/>
      <c r="AE472" s="110"/>
      <c r="AF472" s="111"/>
    </row>
    <row r="473" ht="14.25" customHeight="1">
      <c r="V473" s="110"/>
      <c r="AE473" s="110"/>
      <c r="AF473" s="111"/>
    </row>
    <row r="474" ht="14.25" customHeight="1">
      <c r="V474" s="110"/>
      <c r="AE474" s="110"/>
      <c r="AF474" s="111"/>
    </row>
    <row r="475" ht="14.25" customHeight="1">
      <c r="V475" s="110"/>
      <c r="AE475" s="110"/>
      <c r="AF475" s="111"/>
    </row>
    <row r="476" ht="14.25" customHeight="1">
      <c r="V476" s="110"/>
      <c r="AE476" s="110"/>
      <c r="AF476" s="111"/>
    </row>
    <row r="477" ht="14.25" customHeight="1">
      <c r="V477" s="110"/>
      <c r="AE477" s="110"/>
      <c r="AF477" s="111"/>
    </row>
    <row r="478" ht="14.25" customHeight="1">
      <c r="V478" s="110"/>
      <c r="AE478" s="110"/>
      <c r="AF478" s="111"/>
    </row>
    <row r="479" ht="14.25" customHeight="1">
      <c r="V479" s="110"/>
      <c r="AE479" s="110"/>
      <c r="AF479" s="111"/>
    </row>
    <row r="480" ht="14.25" customHeight="1">
      <c r="V480" s="110"/>
      <c r="AE480" s="110"/>
      <c r="AF480" s="111"/>
    </row>
    <row r="481" ht="14.25" customHeight="1">
      <c r="V481" s="110"/>
      <c r="AE481" s="110"/>
      <c r="AF481" s="111"/>
    </row>
    <row r="482" ht="14.25" customHeight="1">
      <c r="V482" s="110"/>
      <c r="AE482" s="110"/>
      <c r="AF482" s="111"/>
    </row>
    <row r="483" ht="14.25" customHeight="1">
      <c r="V483" s="110"/>
      <c r="AE483" s="110"/>
      <c r="AF483" s="111"/>
    </row>
    <row r="484" ht="14.25" customHeight="1">
      <c r="V484" s="110"/>
      <c r="AE484" s="110"/>
      <c r="AF484" s="111"/>
    </row>
    <row r="485" ht="14.25" customHeight="1">
      <c r="V485" s="110"/>
      <c r="AE485" s="110"/>
      <c r="AF485" s="111"/>
    </row>
    <row r="486" ht="14.25" customHeight="1">
      <c r="V486" s="110"/>
      <c r="AE486" s="110"/>
      <c r="AF486" s="111"/>
    </row>
    <row r="487" ht="14.25" customHeight="1">
      <c r="V487" s="110"/>
      <c r="AE487" s="110"/>
      <c r="AF487" s="111"/>
    </row>
    <row r="488" ht="14.25" customHeight="1">
      <c r="V488" s="110"/>
      <c r="AE488" s="110"/>
      <c r="AF488" s="111"/>
    </row>
    <row r="489" ht="14.25" customHeight="1">
      <c r="V489" s="110"/>
      <c r="AE489" s="110"/>
      <c r="AF489" s="111"/>
    </row>
    <row r="490" ht="14.25" customHeight="1">
      <c r="V490" s="110"/>
      <c r="AE490" s="110"/>
      <c r="AF490" s="111"/>
    </row>
    <row r="491" ht="14.25" customHeight="1">
      <c r="V491" s="110"/>
      <c r="AE491" s="110"/>
      <c r="AF491" s="111"/>
    </row>
    <row r="492" ht="14.25" customHeight="1">
      <c r="V492" s="110"/>
      <c r="AE492" s="110"/>
      <c r="AF492" s="111"/>
    </row>
    <row r="493" ht="14.25" customHeight="1">
      <c r="V493" s="110"/>
      <c r="AE493" s="110"/>
      <c r="AF493" s="111"/>
    </row>
    <row r="494" ht="14.25" customHeight="1">
      <c r="V494" s="110"/>
      <c r="AE494" s="110"/>
      <c r="AF494" s="111"/>
    </row>
    <row r="495" ht="14.25" customHeight="1">
      <c r="V495" s="110"/>
      <c r="AE495" s="110"/>
      <c r="AF495" s="111"/>
    </row>
    <row r="496" ht="14.25" customHeight="1">
      <c r="V496" s="110"/>
      <c r="AE496" s="110"/>
      <c r="AF496" s="111"/>
    </row>
    <row r="497" ht="14.25" customHeight="1">
      <c r="V497" s="110"/>
      <c r="AE497" s="110"/>
      <c r="AF497" s="111"/>
    </row>
    <row r="498" ht="14.25" customHeight="1">
      <c r="V498" s="110"/>
      <c r="AE498" s="110"/>
      <c r="AF498" s="111"/>
    </row>
    <row r="499" ht="14.25" customHeight="1">
      <c r="V499" s="110"/>
      <c r="AE499" s="110"/>
      <c r="AF499" s="111"/>
    </row>
    <row r="500" ht="14.25" customHeight="1">
      <c r="V500" s="110"/>
      <c r="AE500" s="110"/>
      <c r="AF500" s="111"/>
    </row>
    <row r="501" ht="14.25" customHeight="1">
      <c r="V501" s="110"/>
      <c r="AE501" s="110"/>
      <c r="AF501" s="111"/>
    </row>
    <row r="502" ht="14.25" customHeight="1">
      <c r="V502" s="110"/>
      <c r="AE502" s="110"/>
      <c r="AF502" s="111"/>
    </row>
    <row r="503" ht="14.25" customHeight="1">
      <c r="V503" s="110"/>
      <c r="AE503" s="110"/>
      <c r="AF503" s="111"/>
    </row>
    <row r="504" ht="14.25" customHeight="1">
      <c r="V504" s="110"/>
      <c r="AE504" s="110"/>
      <c r="AF504" s="111"/>
    </row>
    <row r="505" ht="14.25" customHeight="1">
      <c r="V505" s="110"/>
      <c r="AE505" s="110"/>
      <c r="AF505" s="111"/>
    </row>
    <row r="506" ht="14.25" customHeight="1">
      <c r="V506" s="110"/>
      <c r="AE506" s="110"/>
      <c r="AF506" s="111"/>
    </row>
    <row r="507" ht="14.25" customHeight="1">
      <c r="V507" s="110"/>
      <c r="AE507" s="110"/>
      <c r="AF507" s="111"/>
    </row>
    <row r="508" ht="14.25" customHeight="1">
      <c r="V508" s="110"/>
      <c r="AE508" s="110"/>
      <c r="AF508" s="111"/>
    </row>
    <row r="509" ht="14.25" customHeight="1">
      <c r="V509" s="110"/>
      <c r="AE509" s="110"/>
      <c r="AF509" s="111"/>
    </row>
    <row r="510" ht="14.25" customHeight="1">
      <c r="V510" s="110"/>
      <c r="AE510" s="110"/>
      <c r="AF510" s="111"/>
    </row>
    <row r="511" ht="14.25" customHeight="1">
      <c r="V511" s="110"/>
      <c r="AE511" s="110"/>
      <c r="AF511" s="111"/>
    </row>
    <row r="512" ht="14.25" customHeight="1">
      <c r="V512" s="110"/>
      <c r="AE512" s="110"/>
      <c r="AF512" s="111"/>
    </row>
    <row r="513" ht="14.25" customHeight="1">
      <c r="V513" s="110"/>
      <c r="AE513" s="110"/>
      <c r="AF513" s="111"/>
    </row>
    <row r="514" ht="14.25" customHeight="1">
      <c r="V514" s="110"/>
      <c r="AE514" s="110"/>
      <c r="AF514" s="111"/>
    </row>
    <row r="515" ht="14.25" customHeight="1">
      <c r="V515" s="110"/>
      <c r="AE515" s="110"/>
      <c r="AF515" s="111"/>
    </row>
    <row r="516" ht="14.25" customHeight="1">
      <c r="V516" s="110"/>
      <c r="AE516" s="110"/>
      <c r="AF516" s="111"/>
    </row>
    <row r="517" ht="14.25" customHeight="1">
      <c r="V517" s="110"/>
      <c r="AE517" s="110"/>
      <c r="AF517" s="111"/>
    </row>
    <row r="518" ht="14.25" customHeight="1">
      <c r="V518" s="110"/>
      <c r="AE518" s="110"/>
      <c r="AF518" s="111"/>
    </row>
    <row r="519" ht="14.25" customHeight="1">
      <c r="V519" s="110"/>
      <c r="AE519" s="110"/>
      <c r="AF519" s="111"/>
    </row>
    <row r="520" ht="14.25" customHeight="1">
      <c r="V520" s="110"/>
      <c r="AE520" s="110"/>
      <c r="AF520" s="111"/>
    </row>
    <row r="521" ht="14.25" customHeight="1">
      <c r="V521" s="110"/>
      <c r="AE521" s="110"/>
      <c r="AF521" s="111"/>
    </row>
    <row r="522" ht="14.25" customHeight="1">
      <c r="V522" s="110"/>
      <c r="AE522" s="110"/>
      <c r="AF522" s="111"/>
    </row>
    <row r="523" ht="14.25" customHeight="1">
      <c r="V523" s="110"/>
      <c r="AE523" s="110"/>
      <c r="AF523" s="111"/>
    </row>
    <row r="524" ht="14.25" customHeight="1">
      <c r="V524" s="110"/>
      <c r="AE524" s="110"/>
      <c r="AF524" s="111"/>
    </row>
    <row r="525" ht="14.25" customHeight="1">
      <c r="V525" s="110"/>
      <c r="AE525" s="110"/>
      <c r="AF525" s="111"/>
    </row>
    <row r="526" ht="14.25" customHeight="1">
      <c r="V526" s="110"/>
      <c r="AE526" s="110"/>
      <c r="AF526" s="111"/>
    </row>
    <row r="527" ht="14.25" customHeight="1">
      <c r="V527" s="110"/>
      <c r="AE527" s="110"/>
      <c r="AF527" s="111"/>
    </row>
    <row r="528" ht="14.25" customHeight="1">
      <c r="V528" s="110"/>
      <c r="AE528" s="110"/>
      <c r="AF528" s="111"/>
    </row>
    <row r="529" ht="14.25" customHeight="1">
      <c r="V529" s="110"/>
      <c r="AE529" s="110"/>
      <c r="AF529" s="111"/>
    </row>
    <row r="530" ht="14.25" customHeight="1">
      <c r="V530" s="110"/>
      <c r="AE530" s="110"/>
      <c r="AF530" s="111"/>
    </row>
    <row r="531" ht="14.25" customHeight="1">
      <c r="V531" s="110"/>
      <c r="AE531" s="110"/>
      <c r="AF531" s="111"/>
    </row>
    <row r="532" ht="14.25" customHeight="1">
      <c r="V532" s="110"/>
      <c r="AE532" s="110"/>
      <c r="AF532" s="111"/>
    </row>
    <row r="533" ht="14.25" customHeight="1">
      <c r="V533" s="110"/>
      <c r="AE533" s="110"/>
      <c r="AF533" s="111"/>
    </row>
    <row r="534" ht="14.25" customHeight="1">
      <c r="V534" s="110"/>
      <c r="AE534" s="110"/>
      <c r="AF534" s="111"/>
    </row>
    <row r="535" ht="14.25" customHeight="1">
      <c r="V535" s="110"/>
      <c r="AE535" s="110"/>
      <c r="AF535" s="111"/>
    </row>
    <row r="536" ht="14.25" customHeight="1">
      <c r="V536" s="110"/>
      <c r="AE536" s="110"/>
      <c r="AF536" s="111"/>
    </row>
    <row r="537" ht="14.25" customHeight="1">
      <c r="V537" s="110"/>
      <c r="AE537" s="110"/>
      <c r="AF537" s="111"/>
    </row>
    <row r="538" ht="14.25" customHeight="1">
      <c r="V538" s="110"/>
      <c r="AE538" s="110"/>
      <c r="AF538" s="111"/>
    </row>
    <row r="539" ht="14.25" customHeight="1">
      <c r="V539" s="110"/>
      <c r="AE539" s="110"/>
      <c r="AF539" s="111"/>
    </row>
    <row r="540" ht="14.25" customHeight="1">
      <c r="V540" s="110"/>
      <c r="AE540" s="110"/>
      <c r="AF540" s="111"/>
    </row>
    <row r="541" ht="14.25" customHeight="1">
      <c r="V541" s="110"/>
      <c r="AE541" s="110"/>
      <c r="AF541" s="111"/>
    </row>
    <row r="542" ht="14.25" customHeight="1">
      <c r="V542" s="110"/>
      <c r="AE542" s="110"/>
      <c r="AF542" s="111"/>
    </row>
    <row r="543" ht="14.25" customHeight="1">
      <c r="V543" s="110"/>
      <c r="AE543" s="110"/>
      <c r="AF543" s="111"/>
    </row>
    <row r="544" ht="14.25" customHeight="1">
      <c r="V544" s="110"/>
      <c r="AE544" s="110"/>
      <c r="AF544" s="111"/>
    </row>
    <row r="545" ht="14.25" customHeight="1">
      <c r="V545" s="110"/>
      <c r="AE545" s="110"/>
      <c r="AF545" s="111"/>
    </row>
    <row r="546" ht="14.25" customHeight="1">
      <c r="V546" s="110"/>
      <c r="AE546" s="110"/>
      <c r="AF546" s="111"/>
    </row>
    <row r="547" ht="14.25" customHeight="1">
      <c r="V547" s="110"/>
      <c r="AE547" s="110"/>
      <c r="AF547" s="111"/>
    </row>
    <row r="548" ht="14.25" customHeight="1">
      <c r="V548" s="110"/>
      <c r="AE548" s="110"/>
      <c r="AF548" s="111"/>
    </row>
    <row r="549" ht="14.25" customHeight="1">
      <c r="V549" s="110"/>
      <c r="AE549" s="110"/>
      <c r="AF549" s="111"/>
    </row>
    <row r="550" ht="14.25" customHeight="1">
      <c r="V550" s="110"/>
      <c r="AE550" s="110"/>
      <c r="AF550" s="111"/>
    </row>
    <row r="551" ht="14.25" customHeight="1">
      <c r="V551" s="110"/>
      <c r="AE551" s="110"/>
      <c r="AF551" s="111"/>
    </row>
    <row r="552" ht="14.25" customHeight="1">
      <c r="V552" s="110"/>
      <c r="AE552" s="110"/>
      <c r="AF552" s="111"/>
    </row>
    <row r="553" ht="14.25" customHeight="1">
      <c r="V553" s="110"/>
      <c r="AE553" s="110"/>
      <c r="AF553" s="111"/>
    </row>
    <row r="554" ht="14.25" customHeight="1">
      <c r="V554" s="110"/>
      <c r="AE554" s="110"/>
      <c r="AF554" s="111"/>
    </row>
    <row r="555" ht="14.25" customHeight="1">
      <c r="V555" s="110"/>
      <c r="AE555" s="110"/>
      <c r="AF555" s="111"/>
    </row>
    <row r="556" ht="14.25" customHeight="1">
      <c r="V556" s="110"/>
      <c r="AE556" s="110"/>
      <c r="AF556" s="111"/>
    </row>
    <row r="557" ht="14.25" customHeight="1">
      <c r="V557" s="110"/>
      <c r="AE557" s="110"/>
      <c r="AF557" s="111"/>
    </row>
    <row r="558" ht="14.25" customHeight="1">
      <c r="V558" s="110"/>
      <c r="AE558" s="110"/>
      <c r="AF558" s="111"/>
    </row>
    <row r="559" ht="14.25" customHeight="1">
      <c r="V559" s="110"/>
      <c r="AE559" s="110"/>
      <c r="AF559" s="111"/>
    </row>
    <row r="560" ht="14.25" customHeight="1">
      <c r="V560" s="110"/>
      <c r="AE560" s="110"/>
      <c r="AF560" s="111"/>
    </row>
    <row r="561" ht="14.25" customHeight="1">
      <c r="V561" s="110"/>
      <c r="AE561" s="110"/>
      <c r="AF561" s="111"/>
    </row>
    <row r="562" ht="14.25" customHeight="1">
      <c r="V562" s="110"/>
      <c r="AE562" s="110"/>
      <c r="AF562" s="111"/>
    </row>
    <row r="563" ht="14.25" customHeight="1">
      <c r="V563" s="110"/>
      <c r="AE563" s="110"/>
      <c r="AF563" s="111"/>
    </row>
    <row r="564" ht="14.25" customHeight="1">
      <c r="V564" s="110"/>
      <c r="AE564" s="110"/>
      <c r="AF564" s="111"/>
    </row>
    <row r="565" ht="14.25" customHeight="1">
      <c r="V565" s="110"/>
      <c r="AE565" s="110"/>
      <c r="AF565" s="111"/>
    </row>
    <row r="566" ht="14.25" customHeight="1">
      <c r="V566" s="110"/>
      <c r="AE566" s="110"/>
      <c r="AF566" s="111"/>
    </row>
    <row r="567" ht="14.25" customHeight="1">
      <c r="V567" s="110"/>
      <c r="AE567" s="110"/>
      <c r="AF567" s="111"/>
    </row>
    <row r="568" ht="14.25" customHeight="1">
      <c r="V568" s="110"/>
      <c r="AE568" s="110"/>
      <c r="AF568" s="111"/>
    </row>
    <row r="569" ht="14.25" customHeight="1">
      <c r="V569" s="110"/>
      <c r="AE569" s="110"/>
      <c r="AF569" s="111"/>
    </row>
    <row r="570" ht="14.25" customHeight="1">
      <c r="V570" s="110"/>
      <c r="AE570" s="110"/>
      <c r="AF570" s="111"/>
    </row>
    <row r="571" ht="14.25" customHeight="1">
      <c r="V571" s="110"/>
      <c r="AE571" s="110"/>
      <c r="AF571" s="111"/>
    </row>
    <row r="572" ht="14.25" customHeight="1">
      <c r="V572" s="110"/>
      <c r="AE572" s="110"/>
      <c r="AF572" s="111"/>
    </row>
    <row r="573" ht="14.25" customHeight="1">
      <c r="V573" s="110"/>
      <c r="AE573" s="110"/>
      <c r="AF573" s="111"/>
    </row>
    <row r="574" ht="14.25" customHeight="1">
      <c r="V574" s="110"/>
      <c r="AE574" s="110"/>
      <c r="AF574" s="111"/>
    </row>
    <row r="575" ht="14.25" customHeight="1">
      <c r="V575" s="110"/>
      <c r="AE575" s="110"/>
      <c r="AF575" s="111"/>
    </row>
    <row r="576" ht="14.25" customHeight="1">
      <c r="V576" s="110"/>
      <c r="AE576" s="110"/>
      <c r="AF576" s="111"/>
    </row>
    <row r="577" ht="14.25" customHeight="1">
      <c r="V577" s="110"/>
      <c r="AE577" s="110"/>
      <c r="AF577" s="111"/>
    </row>
    <row r="578" ht="14.25" customHeight="1">
      <c r="V578" s="110"/>
      <c r="AE578" s="110"/>
      <c r="AF578" s="111"/>
    </row>
    <row r="579" ht="14.25" customHeight="1">
      <c r="V579" s="110"/>
      <c r="AE579" s="110"/>
      <c r="AF579" s="111"/>
    </row>
    <row r="580" ht="14.25" customHeight="1">
      <c r="V580" s="110"/>
      <c r="AE580" s="110"/>
      <c r="AF580" s="111"/>
    </row>
    <row r="581" ht="14.25" customHeight="1">
      <c r="V581" s="110"/>
      <c r="AE581" s="110"/>
      <c r="AF581" s="111"/>
    </row>
    <row r="582" ht="14.25" customHeight="1">
      <c r="V582" s="110"/>
      <c r="AE582" s="110"/>
      <c r="AF582" s="111"/>
    </row>
    <row r="583" ht="14.25" customHeight="1">
      <c r="V583" s="110"/>
      <c r="AE583" s="110"/>
      <c r="AF583" s="111"/>
    </row>
    <row r="584" ht="14.25" customHeight="1">
      <c r="V584" s="110"/>
      <c r="AE584" s="110"/>
      <c r="AF584" s="111"/>
    </row>
    <row r="585" ht="14.25" customHeight="1">
      <c r="V585" s="110"/>
      <c r="AE585" s="110"/>
      <c r="AF585" s="111"/>
    </row>
    <row r="586" ht="14.25" customHeight="1">
      <c r="V586" s="110"/>
      <c r="AE586" s="110"/>
      <c r="AF586" s="111"/>
    </row>
    <row r="587" ht="14.25" customHeight="1">
      <c r="V587" s="110"/>
      <c r="AE587" s="110"/>
      <c r="AF587" s="111"/>
    </row>
    <row r="588" ht="14.25" customHeight="1">
      <c r="V588" s="110"/>
      <c r="AE588" s="110"/>
      <c r="AF588" s="111"/>
    </row>
    <row r="589" ht="14.25" customHeight="1">
      <c r="V589" s="110"/>
      <c r="AE589" s="110"/>
      <c r="AF589" s="111"/>
    </row>
    <row r="590" ht="14.25" customHeight="1">
      <c r="V590" s="110"/>
      <c r="AE590" s="110"/>
      <c r="AF590" s="111"/>
    </row>
    <row r="591" ht="14.25" customHeight="1">
      <c r="V591" s="110"/>
      <c r="AE591" s="110"/>
      <c r="AF591" s="111"/>
    </row>
    <row r="592" ht="14.25" customHeight="1">
      <c r="V592" s="110"/>
      <c r="AE592" s="110"/>
      <c r="AF592" s="111"/>
    </row>
    <row r="593" ht="14.25" customHeight="1">
      <c r="V593" s="110"/>
      <c r="AE593" s="110"/>
      <c r="AF593" s="111"/>
    </row>
    <row r="594" ht="14.25" customHeight="1">
      <c r="V594" s="110"/>
      <c r="AE594" s="110"/>
      <c r="AF594" s="111"/>
    </row>
    <row r="595" ht="14.25" customHeight="1">
      <c r="V595" s="110"/>
      <c r="AE595" s="110"/>
      <c r="AF595" s="111"/>
    </row>
    <row r="596" ht="14.25" customHeight="1">
      <c r="V596" s="110"/>
      <c r="AE596" s="110"/>
      <c r="AF596" s="111"/>
    </row>
    <row r="597" ht="14.25" customHeight="1">
      <c r="V597" s="110"/>
      <c r="AE597" s="110"/>
      <c r="AF597" s="111"/>
    </row>
    <row r="598" ht="14.25" customHeight="1">
      <c r="V598" s="110"/>
      <c r="AE598" s="110"/>
      <c r="AF598" s="111"/>
    </row>
    <row r="599" ht="14.25" customHeight="1">
      <c r="V599" s="110"/>
      <c r="AE599" s="110"/>
      <c r="AF599" s="111"/>
    </row>
    <row r="600" ht="14.25" customHeight="1">
      <c r="V600" s="110"/>
      <c r="AE600" s="110"/>
      <c r="AF600" s="111"/>
    </row>
    <row r="601" ht="14.25" customHeight="1">
      <c r="V601" s="110"/>
      <c r="AE601" s="110"/>
      <c r="AF601" s="111"/>
    </row>
    <row r="602" ht="14.25" customHeight="1">
      <c r="V602" s="110"/>
      <c r="AE602" s="110"/>
      <c r="AF602" s="111"/>
    </row>
    <row r="603" ht="14.25" customHeight="1">
      <c r="V603" s="110"/>
      <c r="AE603" s="110"/>
      <c r="AF603" s="111"/>
    </row>
    <row r="604" ht="14.25" customHeight="1">
      <c r="V604" s="110"/>
      <c r="AE604" s="110"/>
      <c r="AF604" s="111"/>
    </row>
    <row r="605" ht="14.25" customHeight="1">
      <c r="V605" s="110"/>
      <c r="AE605" s="110"/>
      <c r="AF605" s="111"/>
    </row>
    <row r="606" ht="14.25" customHeight="1">
      <c r="V606" s="110"/>
      <c r="AE606" s="110"/>
      <c r="AF606" s="111"/>
    </row>
    <row r="607" ht="14.25" customHeight="1">
      <c r="V607" s="110"/>
      <c r="AE607" s="110"/>
      <c r="AF607" s="111"/>
    </row>
    <row r="608" ht="14.25" customHeight="1">
      <c r="V608" s="110"/>
      <c r="AE608" s="110"/>
      <c r="AF608" s="111"/>
    </row>
    <row r="609" ht="14.25" customHeight="1">
      <c r="V609" s="110"/>
      <c r="AE609" s="110"/>
      <c r="AF609" s="111"/>
    </row>
    <row r="610" ht="14.25" customHeight="1">
      <c r="V610" s="110"/>
      <c r="AE610" s="110"/>
      <c r="AF610" s="111"/>
    </row>
    <row r="611" ht="14.25" customHeight="1">
      <c r="V611" s="110"/>
      <c r="AE611" s="110"/>
      <c r="AF611" s="111"/>
    </row>
    <row r="612" ht="14.25" customHeight="1">
      <c r="V612" s="110"/>
      <c r="AE612" s="110"/>
      <c r="AF612" s="111"/>
    </row>
    <row r="613" ht="14.25" customHeight="1">
      <c r="V613" s="110"/>
      <c r="AE613" s="110"/>
      <c r="AF613" s="111"/>
    </row>
    <row r="614" ht="14.25" customHeight="1">
      <c r="V614" s="110"/>
      <c r="AE614" s="110"/>
      <c r="AF614" s="111"/>
    </row>
    <row r="615" ht="14.25" customHeight="1">
      <c r="V615" s="110"/>
      <c r="AE615" s="110"/>
      <c r="AF615" s="111"/>
    </row>
    <row r="616" ht="14.25" customHeight="1">
      <c r="V616" s="110"/>
      <c r="AE616" s="110"/>
      <c r="AF616" s="111"/>
    </row>
    <row r="617" ht="14.25" customHeight="1">
      <c r="V617" s="110"/>
      <c r="AE617" s="110"/>
      <c r="AF617" s="111"/>
    </row>
    <row r="618" ht="14.25" customHeight="1">
      <c r="V618" s="110"/>
      <c r="AE618" s="110"/>
      <c r="AF618" s="111"/>
    </row>
    <row r="619" ht="14.25" customHeight="1">
      <c r="V619" s="110"/>
      <c r="AE619" s="110"/>
      <c r="AF619" s="111"/>
    </row>
    <row r="620" ht="14.25" customHeight="1">
      <c r="V620" s="110"/>
      <c r="AE620" s="110"/>
      <c r="AF620" s="111"/>
    </row>
    <row r="621" ht="14.25" customHeight="1">
      <c r="V621" s="110"/>
      <c r="AE621" s="110"/>
      <c r="AF621" s="111"/>
    </row>
    <row r="622" ht="14.25" customHeight="1">
      <c r="V622" s="110"/>
      <c r="AE622" s="110"/>
      <c r="AF622" s="111"/>
    </row>
    <row r="623" ht="14.25" customHeight="1">
      <c r="V623" s="110"/>
      <c r="AE623" s="110"/>
      <c r="AF623" s="111"/>
    </row>
    <row r="624" ht="14.25" customHeight="1">
      <c r="V624" s="110"/>
      <c r="AE624" s="110"/>
      <c r="AF624" s="111"/>
    </row>
    <row r="625" ht="14.25" customHeight="1">
      <c r="V625" s="110"/>
      <c r="AE625" s="110"/>
      <c r="AF625" s="111"/>
    </row>
    <row r="626" ht="14.25" customHeight="1">
      <c r="V626" s="110"/>
      <c r="AE626" s="110"/>
      <c r="AF626" s="111"/>
    </row>
    <row r="627" ht="14.25" customHeight="1">
      <c r="V627" s="110"/>
      <c r="AE627" s="110"/>
      <c r="AF627" s="111"/>
    </row>
    <row r="628" ht="14.25" customHeight="1">
      <c r="V628" s="110"/>
      <c r="AE628" s="110"/>
      <c r="AF628" s="111"/>
    </row>
    <row r="629" ht="14.25" customHeight="1">
      <c r="V629" s="110"/>
      <c r="AE629" s="110"/>
      <c r="AF629" s="111"/>
    </row>
    <row r="630" ht="14.25" customHeight="1">
      <c r="V630" s="110"/>
      <c r="AE630" s="110"/>
      <c r="AF630" s="111"/>
    </row>
    <row r="631" ht="14.25" customHeight="1">
      <c r="V631" s="110"/>
      <c r="AE631" s="110"/>
      <c r="AF631" s="111"/>
    </row>
    <row r="632" ht="14.25" customHeight="1">
      <c r="V632" s="110"/>
      <c r="AE632" s="110"/>
      <c r="AF632" s="111"/>
    </row>
    <row r="633" ht="14.25" customHeight="1">
      <c r="V633" s="110"/>
      <c r="AE633" s="110"/>
      <c r="AF633" s="111"/>
    </row>
    <row r="634" ht="14.25" customHeight="1">
      <c r="V634" s="110"/>
      <c r="AE634" s="110"/>
      <c r="AF634" s="111"/>
    </row>
    <row r="635" ht="14.25" customHeight="1">
      <c r="V635" s="110"/>
      <c r="AE635" s="110"/>
      <c r="AF635" s="111"/>
    </row>
    <row r="636" ht="14.25" customHeight="1">
      <c r="V636" s="110"/>
      <c r="AE636" s="110"/>
      <c r="AF636" s="111"/>
    </row>
    <row r="637" ht="14.25" customHeight="1">
      <c r="V637" s="110"/>
      <c r="AE637" s="110"/>
      <c r="AF637" s="111"/>
    </row>
    <row r="638" ht="14.25" customHeight="1">
      <c r="V638" s="110"/>
      <c r="AE638" s="110"/>
      <c r="AF638" s="111"/>
    </row>
    <row r="639" ht="14.25" customHeight="1">
      <c r="V639" s="110"/>
      <c r="AE639" s="110"/>
      <c r="AF639" s="111"/>
    </row>
    <row r="640" ht="14.25" customHeight="1">
      <c r="V640" s="110"/>
      <c r="AE640" s="110"/>
      <c r="AF640" s="111"/>
    </row>
    <row r="641" ht="14.25" customHeight="1">
      <c r="V641" s="110"/>
      <c r="AE641" s="110"/>
      <c r="AF641" s="111"/>
    </row>
    <row r="642" ht="14.25" customHeight="1">
      <c r="V642" s="110"/>
      <c r="AE642" s="110"/>
      <c r="AF642" s="111"/>
    </row>
    <row r="643" ht="14.25" customHeight="1">
      <c r="V643" s="110"/>
      <c r="AE643" s="110"/>
      <c r="AF643" s="111"/>
    </row>
    <row r="644" ht="14.25" customHeight="1">
      <c r="V644" s="110"/>
      <c r="AE644" s="110"/>
      <c r="AF644" s="111"/>
    </row>
    <row r="645" ht="14.25" customHeight="1">
      <c r="V645" s="110"/>
      <c r="AE645" s="110"/>
      <c r="AF645" s="111"/>
    </row>
    <row r="646" ht="14.25" customHeight="1">
      <c r="V646" s="110"/>
      <c r="AE646" s="110"/>
      <c r="AF646" s="111"/>
    </row>
    <row r="647" ht="14.25" customHeight="1">
      <c r="V647" s="110"/>
      <c r="AE647" s="110"/>
      <c r="AF647" s="111"/>
    </row>
    <row r="648" ht="14.25" customHeight="1">
      <c r="V648" s="110"/>
      <c r="AE648" s="110"/>
      <c r="AF648" s="111"/>
    </row>
    <row r="649" ht="14.25" customHeight="1">
      <c r="V649" s="110"/>
      <c r="AE649" s="110"/>
      <c r="AF649" s="111"/>
    </row>
    <row r="650" ht="14.25" customHeight="1">
      <c r="V650" s="110"/>
      <c r="AE650" s="110"/>
      <c r="AF650" s="111"/>
    </row>
    <row r="651" ht="14.25" customHeight="1">
      <c r="V651" s="110"/>
      <c r="AE651" s="110"/>
      <c r="AF651" s="111"/>
    </row>
    <row r="652" ht="14.25" customHeight="1">
      <c r="V652" s="110"/>
      <c r="AE652" s="110"/>
      <c r="AF652" s="111"/>
    </row>
    <row r="653" ht="14.25" customHeight="1">
      <c r="V653" s="110"/>
      <c r="AE653" s="110"/>
      <c r="AF653" s="111"/>
    </row>
    <row r="654" ht="14.25" customHeight="1">
      <c r="V654" s="110"/>
      <c r="AE654" s="110"/>
      <c r="AF654" s="111"/>
    </row>
    <row r="655" ht="14.25" customHeight="1">
      <c r="V655" s="110"/>
      <c r="AE655" s="110"/>
      <c r="AF655" s="111"/>
    </row>
    <row r="656" ht="14.25" customHeight="1">
      <c r="V656" s="110"/>
      <c r="AE656" s="110"/>
      <c r="AF656" s="111"/>
    </row>
    <row r="657" ht="14.25" customHeight="1">
      <c r="V657" s="110"/>
      <c r="AE657" s="110"/>
      <c r="AF657" s="111"/>
    </row>
    <row r="658" ht="14.25" customHeight="1">
      <c r="V658" s="110"/>
      <c r="AE658" s="110"/>
      <c r="AF658" s="111"/>
    </row>
    <row r="659" ht="14.25" customHeight="1">
      <c r="V659" s="110"/>
      <c r="AE659" s="110"/>
      <c r="AF659" s="111"/>
    </row>
    <row r="660" ht="14.25" customHeight="1">
      <c r="V660" s="110"/>
      <c r="AE660" s="110"/>
      <c r="AF660" s="111"/>
    </row>
    <row r="661" ht="14.25" customHeight="1">
      <c r="V661" s="110"/>
      <c r="AE661" s="110"/>
      <c r="AF661" s="111"/>
    </row>
    <row r="662" ht="14.25" customHeight="1">
      <c r="V662" s="110"/>
      <c r="AE662" s="110"/>
      <c r="AF662" s="111"/>
    </row>
    <row r="663" ht="14.25" customHeight="1">
      <c r="V663" s="110"/>
      <c r="AE663" s="110"/>
      <c r="AF663" s="111"/>
    </row>
    <row r="664" ht="14.25" customHeight="1">
      <c r="V664" s="110"/>
      <c r="AE664" s="110"/>
      <c r="AF664" s="111"/>
    </row>
    <row r="665" ht="14.25" customHeight="1">
      <c r="V665" s="110"/>
      <c r="AE665" s="110"/>
      <c r="AF665" s="111"/>
    </row>
    <row r="666" ht="14.25" customHeight="1">
      <c r="V666" s="110"/>
      <c r="AE666" s="110"/>
      <c r="AF666" s="111"/>
    </row>
    <row r="667" ht="14.25" customHeight="1">
      <c r="V667" s="110"/>
      <c r="AE667" s="110"/>
      <c r="AF667" s="111"/>
    </row>
    <row r="668" ht="14.25" customHeight="1">
      <c r="V668" s="110"/>
      <c r="AE668" s="110"/>
      <c r="AF668" s="111"/>
    </row>
    <row r="669" ht="14.25" customHeight="1">
      <c r="V669" s="110"/>
      <c r="AE669" s="110"/>
      <c r="AF669" s="111"/>
    </row>
    <row r="670" ht="14.25" customHeight="1">
      <c r="V670" s="110"/>
      <c r="AE670" s="110"/>
      <c r="AF670" s="111"/>
    </row>
    <row r="671" ht="14.25" customHeight="1">
      <c r="V671" s="110"/>
      <c r="AE671" s="110"/>
      <c r="AF671" s="111"/>
    </row>
    <row r="672" ht="14.25" customHeight="1">
      <c r="V672" s="110"/>
      <c r="AE672" s="110"/>
      <c r="AF672" s="111"/>
    </row>
    <row r="673" ht="14.25" customHeight="1">
      <c r="V673" s="110"/>
      <c r="AE673" s="110"/>
      <c r="AF673" s="111"/>
    </row>
    <row r="674" ht="14.25" customHeight="1">
      <c r="V674" s="110"/>
      <c r="AE674" s="110"/>
      <c r="AF674" s="111"/>
    </row>
    <row r="675" ht="14.25" customHeight="1">
      <c r="V675" s="110"/>
      <c r="AE675" s="110"/>
      <c r="AF675" s="111"/>
    </row>
    <row r="676" ht="14.25" customHeight="1">
      <c r="V676" s="110"/>
      <c r="AE676" s="110"/>
      <c r="AF676" s="111"/>
    </row>
    <row r="677" ht="14.25" customHeight="1">
      <c r="V677" s="110"/>
      <c r="AE677" s="110"/>
      <c r="AF677" s="111"/>
    </row>
    <row r="678" ht="14.25" customHeight="1">
      <c r="V678" s="110"/>
      <c r="AE678" s="110"/>
      <c r="AF678" s="111"/>
    </row>
    <row r="679" ht="14.25" customHeight="1">
      <c r="V679" s="110"/>
      <c r="AE679" s="110"/>
      <c r="AF679" s="111"/>
    </row>
    <row r="680" ht="14.25" customHeight="1">
      <c r="V680" s="110"/>
      <c r="AE680" s="110"/>
      <c r="AF680" s="111"/>
    </row>
    <row r="681" ht="14.25" customHeight="1">
      <c r="V681" s="110"/>
      <c r="AE681" s="110"/>
      <c r="AF681" s="111"/>
    </row>
    <row r="682" ht="14.25" customHeight="1">
      <c r="V682" s="110"/>
      <c r="AE682" s="110"/>
      <c r="AF682" s="111"/>
    </row>
    <row r="683" ht="14.25" customHeight="1">
      <c r="V683" s="110"/>
      <c r="AE683" s="110"/>
      <c r="AF683" s="111"/>
    </row>
    <row r="684" ht="14.25" customHeight="1">
      <c r="V684" s="110"/>
      <c r="AE684" s="110"/>
      <c r="AF684" s="111"/>
    </row>
    <row r="685" ht="14.25" customHeight="1">
      <c r="V685" s="110"/>
      <c r="AE685" s="110"/>
      <c r="AF685" s="111"/>
    </row>
    <row r="686" ht="14.25" customHeight="1">
      <c r="V686" s="110"/>
      <c r="AE686" s="110"/>
      <c r="AF686" s="111"/>
    </row>
    <row r="687" ht="14.25" customHeight="1">
      <c r="V687" s="110"/>
      <c r="AE687" s="110"/>
      <c r="AF687" s="111"/>
    </row>
    <row r="688" ht="14.25" customHeight="1">
      <c r="V688" s="110"/>
      <c r="AE688" s="110"/>
      <c r="AF688" s="111"/>
    </row>
    <row r="689" ht="14.25" customHeight="1">
      <c r="V689" s="110"/>
      <c r="AE689" s="110"/>
      <c r="AF689" s="111"/>
    </row>
    <row r="690" ht="14.25" customHeight="1">
      <c r="V690" s="110"/>
      <c r="AE690" s="110"/>
      <c r="AF690" s="111"/>
    </row>
    <row r="691" ht="14.25" customHeight="1">
      <c r="V691" s="110"/>
      <c r="AE691" s="110"/>
      <c r="AF691" s="111"/>
    </row>
    <row r="692" ht="14.25" customHeight="1">
      <c r="V692" s="110"/>
      <c r="AE692" s="110"/>
      <c r="AF692" s="111"/>
    </row>
    <row r="693" ht="14.25" customHeight="1">
      <c r="V693" s="110"/>
      <c r="AE693" s="110"/>
      <c r="AF693" s="111"/>
    </row>
    <row r="694" ht="14.25" customHeight="1">
      <c r="V694" s="110"/>
      <c r="AE694" s="110"/>
      <c r="AF694" s="111"/>
    </row>
    <row r="695" ht="14.25" customHeight="1">
      <c r="V695" s="110"/>
      <c r="AE695" s="110"/>
      <c r="AF695" s="111"/>
    </row>
    <row r="696" ht="14.25" customHeight="1">
      <c r="V696" s="110"/>
      <c r="AE696" s="110"/>
      <c r="AF696" s="111"/>
    </row>
    <row r="697" ht="14.25" customHeight="1">
      <c r="V697" s="110"/>
      <c r="AE697" s="110"/>
      <c r="AF697" s="111"/>
    </row>
    <row r="698" ht="14.25" customHeight="1">
      <c r="V698" s="110"/>
      <c r="AE698" s="110"/>
      <c r="AF698" s="111"/>
    </row>
    <row r="699" ht="14.25" customHeight="1">
      <c r="V699" s="110"/>
      <c r="AE699" s="110"/>
      <c r="AF699" s="111"/>
    </row>
    <row r="700" ht="14.25" customHeight="1">
      <c r="V700" s="110"/>
      <c r="AE700" s="110"/>
      <c r="AF700" s="111"/>
    </row>
    <row r="701" ht="14.25" customHeight="1">
      <c r="V701" s="110"/>
      <c r="AE701" s="110"/>
      <c r="AF701" s="111"/>
    </row>
    <row r="702" ht="14.25" customHeight="1">
      <c r="V702" s="110"/>
      <c r="AE702" s="110"/>
      <c r="AF702" s="111"/>
    </row>
    <row r="703" ht="14.25" customHeight="1">
      <c r="V703" s="110"/>
      <c r="AE703" s="110"/>
      <c r="AF703" s="111"/>
    </row>
    <row r="704" ht="14.25" customHeight="1">
      <c r="V704" s="110"/>
      <c r="AE704" s="110"/>
      <c r="AF704" s="111"/>
    </row>
    <row r="705" ht="14.25" customHeight="1">
      <c r="V705" s="110"/>
      <c r="AE705" s="110"/>
      <c r="AF705" s="111"/>
    </row>
    <row r="706" ht="14.25" customHeight="1">
      <c r="V706" s="110"/>
      <c r="AE706" s="110"/>
      <c r="AF706" s="111"/>
    </row>
    <row r="707" ht="14.25" customHeight="1">
      <c r="V707" s="110"/>
      <c r="AE707" s="110"/>
      <c r="AF707" s="111"/>
    </row>
    <row r="708" ht="14.25" customHeight="1">
      <c r="V708" s="110"/>
      <c r="AE708" s="110"/>
      <c r="AF708" s="111"/>
    </row>
    <row r="709" ht="14.25" customHeight="1">
      <c r="V709" s="110"/>
      <c r="AE709" s="110"/>
      <c r="AF709" s="111"/>
    </row>
    <row r="710" ht="14.25" customHeight="1">
      <c r="V710" s="110"/>
      <c r="AE710" s="110"/>
      <c r="AF710" s="111"/>
    </row>
    <row r="711" ht="14.25" customHeight="1">
      <c r="V711" s="110"/>
      <c r="AE711" s="110"/>
      <c r="AF711" s="111"/>
    </row>
    <row r="712" ht="14.25" customHeight="1">
      <c r="V712" s="110"/>
      <c r="AE712" s="110"/>
      <c r="AF712" s="111"/>
    </row>
    <row r="713" ht="14.25" customHeight="1">
      <c r="V713" s="110"/>
      <c r="AE713" s="110"/>
      <c r="AF713" s="111"/>
    </row>
    <row r="714" ht="14.25" customHeight="1">
      <c r="V714" s="110"/>
      <c r="AE714" s="110"/>
      <c r="AF714" s="111"/>
    </row>
    <row r="715" ht="14.25" customHeight="1">
      <c r="V715" s="110"/>
      <c r="AE715" s="110"/>
      <c r="AF715" s="111"/>
    </row>
    <row r="716" ht="14.25" customHeight="1">
      <c r="V716" s="110"/>
      <c r="AE716" s="110"/>
      <c r="AF716" s="111"/>
    </row>
    <row r="717" ht="14.25" customHeight="1">
      <c r="V717" s="110"/>
      <c r="AE717" s="110"/>
      <c r="AF717" s="111"/>
    </row>
    <row r="718" ht="14.25" customHeight="1">
      <c r="V718" s="110"/>
      <c r="AE718" s="110"/>
      <c r="AF718" s="111"/>
    </row>
    <row r="719" ht="14.25" customHeight="1">
      <c r="V719" s="110"/>
      <c r="AE719" s="110"/>
      <c r="AF719" s="111"/>
    </row>
    <row r="720" ht="14.25" customHeight="1">
      <c r="V720" s="110"/>
      <c r="AE720" s="110"/>
      <c r="AF720" s="111"/>
    </row>
    <row r="721" ht="14.25" customHeight="1">
      <c r="V721" s="110"/>
      <c r="AE721" s="110"/>
      <c r="AF721" s="111"/>
    </row>
    <row r="722" ht="14.25" customHeight="1">
      <c r="V722" s="110"/>
      <c r="AE722" s="110"/>
      <c r="AF722" s="111"/>
    </row>
    <row r="723" ht="14.25" customHeight="1">
      <c r="V723" s="110"/>
      <c r="AE723" s="110"/>
      <c r="AF723" s="111"/>
    </row>
    <row r="724" ht="14.25" customHeight="1">
      <c r="V724" s="110"/>
      <c r="AE724" s="110"/>
      <c r="AF724" s="111"/>
    </row>
    <row r="725" ht="14.25" customHeight="1">
      <c r="V725" s="110"/>
      <c r="AE725" s="110"/>
      <c r="AF725" s="111"/>
    </row>
    <row r="726" ht="14.25" customHeight="1">
      <c r="V726" s="110"/>
      <c r="AE726" s="110"/>
      <c r="AF726" s="111"/>
    </row>
    <row r="727" ht="14.25" customHeight="1">
      <c r="V727" s="110"/>
      <c r="AE727" s="110"/>
      <c r="AF727" s="111"/>
    </row>
    <row r="728" ht="14.25" customHeight="1">
      <c r="V728" s="110"/>
      <c r="AE728" s="110"/>
      <c r="AF728" s="111"/>
    </row>
    <row r="729" ht="14.25" customHeight="1">
      <c r="V729" s="110"/>
      <c r="AE729" s="110"/>
      <c r="AF729" s="111"/>
    </row>
    <row r="730" ht="14.25" customHeight="1">
      <c r="V730" s="110"/>
      <c r="AE730" s="110"/>
      <c r="AF730" s="111"/>
    </row>
    <row r="731" ht="14.25" customHeight="1">
      <c r="V731" s="110"/>
      <c r="AE731" s="110"/>
      <c r="AF731" s="111"/>
    </row>
    <row r="732" ht="14.25" customHeight="1">
      <c r="V732" s="110"/>
      <c r="AE732" s="110"/>
      <c r="AF732" s="111"/>
    </row>
    <row r="733" ht="14.25" customHeight="1">
      <c r="V733" s="110"/>
      <c r="AE733" s="110"/>
      <c r="AF733" s="111"/>
    </row>
    <row r="734" ht="14.25" customHeight="1">
      <c r="V734" s="110"/>
      <c r="AE734" s="110"/>
      <c r="AF734" s="111"/>
    </row>
    <row r="735" ht="14.25" customHeight="1">
      <c r="V735" s="110"/>
      <c r="AE735" s="110"/>
      <c r="AF735" s="111"/>
    </row>
    <row r="736" ht="14.25" customHeight="1">
      <c r="V736" s="110"/>
      <c r="AE736" s="110"/>
      <c r="AF736" s="111"/>
    </row>
    <row r="737" ht="14.25" customHeight="1">
      <c r="V737" s="110"/>
      <c r="AE737" s="110"/>
      <c r="AF737" s="111"/>
    </row>
    <row r="738" ht="14.25" customHeight="1">
      <c r="V738" s="110"/>
      <c r="AE738" s="110"/>
      <c r="AF738" s="111"/>
    </row>
    <row r="739" ht="14.25" customHeight="1">
      <c r="V739" s="110"/>
      <c r="AE739" s="110"/>
      <c r="AF739" s="111"/>
    </row>
    <row r="740" ht="14.25" customHeight="1">
      <c r="V740" s="110"/>
      <c r="AE740" s="110"/>
      <c r="AF740" s="111"/>
    </row>
    <row r="741" ht="14.25" customHeight="1">
      <c r="V741" s="110"/>
      <c r="AE741" s="110"/>
      <c r="AF741" s="111"/>
    </row>
    <row r="742" ht="14.25" customHeight="1">
      <c r="V742" s="110"/>
      <c r="AE742" s="110"/>
      <c r="AF742" s="111"/>
    </row>
    <row r="743" ht="14.25" customHeight="1">
      <c r="V743" s="110"/>
      <c r="AE743" s="110"/>
      <c r="AF743" s="111"/>
    </row>
    <row r="744" ht="14.25" customHeight="1">
      <c r="V744" s="110"/>
      <c r="AE744" s="110"/>
      <c r="AF744" s="111"/>
    </row>
    <row r="745" ht="14.25" customHeight="1">
      <c r="V745" s="110"/>
      <c r="AE745" s="110"/>
      <c r="AF745" s="111"/>
    </row>
    <row r="746" ht="14.25" customHeight="1">
      <c r="V746" s="110"/>
      <c r="AE746" s="110"/>
      <c r="AF746" s="111"/>
    </row>
    <row r="747" ht="14.25" customHeight="1">
      <c r="V747" s="110"/>
      <c r="AE747" s="110"/>
      <c r="AF747" s="111"/>
    </row>
    <row r="748" ht="14.25" customHeight="1">
      <c r="V748" s="110"/>
      <c r="AE748" s="110"/>
      <c r="AF748" s="111"/>
    </row>
    <row r="749" ht="14.25" customHeight="1">
      <c r="V749" s="110"/>
      <c r="AE749" s="110"/>
      <c r="AF749" s="111"/>
    </row>
    <row r="750" ht="14.25" customHeight="1">
      <c r="V750" s="110"/>
      <c r="AE750" s="110"/>
      <c r="AF750" s="111"/>
    </row>
    <row r="751" ht="14.25" customHeight="1">
      <c r="V751" s="110"/>
      <c r="AE751" s="110"/>
      <c r="AF751" s="111"/>
    </row>
    <row r="752" ht="14.25" customHeight="1">
      <c r="V752" s="110"/>
      <c r="AE752" s="110"/>
      <c r="AF752" s="111"/>
    </row>
    <row r="753" ht="14.25" customHeight="1">
      <c r="V753" s="110"/>
      <c r="AE753" s="110"/>
      <c r="AF753" s="111"/>
    </row>
    <row r="754" ht="14.25" customHeight="1">
      <c r="V754" s="110"/>
      <c r="AE754" s="110"/>
      <c r="AF754" s="111"/>
    </row>
    <row r="755" ht="14.25" customHeight="1">
      <c r="V755" s="110"/>
      <c r="AE755" s="110"/>
      <c r="AF755" s="111"/>
    </row>
    <row r="756" ht="14.25" customHeight="1">
      <c r="V756" s="110"/>
      <c r="AE756" s="110"/>
      <c r="AF756" s="111"/>
    </row>
    <row r="757" ht="14.25" customHeight="1">
      <c r="V757" s="110"/>
      <c r="AE757" s="110"/>
      <c r="AF757" s="111"/>
    </row>
    <row r="758" ht="14.25" customHeight="1">
      <c r="V758" s="110"/>
      <c r="AE758" s="110"/>
      <c r="AF758" s="111"/>
    </row>
    <row r="759" ht="14.25" customHeight="1">
      <c r="V759" s="110"/>
      <c r="AE759" s="110"/>
      <c r="AF759" s="111"/>
    </row>
    <row r="760" ht="14.25" customHeight="1">
      <c r="V760" s="110"/>
      <c r="AE760" s="110"/>
      <c r="AF760" s="111"/>
    </row>
    <row r="761" ht="14.25" customHeight="1">
      <c r="V761" s="110"/>
      <c r="AE761" s="110"/>
      <c r="AF761" s="111"/>
    </row>
    <row r="762" ht="14.25" customHeight="1">
      <c r="V762" s="110"/>
      <c r="AE762" s="110"/>
      <c r="AF762" s="111"/>
    </row>
    <row r="763" ht="14.25" customHeight="1">
      <c r="V763" s="110"/>
      <c r="AE763" s="110"/>
      <c r="AF763" s="111"/>
    </row>
    <row r="764" ht="14.25" customHeight="1">
      <c r="V764" s="110"/>
      <c r="AE764" s="110"/>
      <c r="AF764" s="111"/>
    </row>
    <row r="765" ht="14.25" customHeight="1">
      <c r="V765" s="110"/>
      <c r="AE765" s="110"/>
      <c r="AF765" s="111"/>
    </row>
    <row r="766" ht="14.25" customHeight="1">
      <c r="V766" s="110"/>
      <c r="AE766" s="110"/>
      <c r="AF766" s="111"/>
    </row>
    <row r="767" ht="14.25" customHeight="1">
      <c r="V767" s="110"/>
      <c r="AE767" s="110"/>
      <c r="AF767" s="111"/>
    </row>
    <row r="768" ht="14.25" customHeight="1">
      <c r="V768" s="110"/>
      <c r="AE768" s="110"/>
      <c r="AF768" s="111"/>
    </row>
    <row r="769" ht="14.25" customHeight="1">
      <c r="V769" s="110"/>
      <c r="AE769" s="110"/>
      <c r="AF769" s="111"/>
    </row>
    <row r="770" ht="14.25" customHeight="1">
      <c r="V770" s="110"/>
      <c r="AE770" s="110"/>
      <c r="AF770" s="111"/>
    </row>
    <row r="771" ht="14.25" customHeight="1">
      <c r="V771" s="110"/>
      <c r="AE771" s="110"/>
      <c r="AF771" s="111"/>
    </row>
    <row r="772" ht="14.25" customHeight="1">
      <c r="V772" s="110"/>
      <c r="AE772" s="110"/>
      <c r="AF772" s="111"/>
    </row>
    <row r="773" ht="14.25" customHeight="1">
      <c r="V773" s="110"/>
      <c r="AE773" s="110"/>
      <c r="AF773" s="111"/>
    </row>
    <row r="774" ht="14.25" customHeight="1">
      <c r="V774" s="110"/>
      <c r="AE774" s="110"/>
      <c r="AF774" s="111"/>
    </row>
    <row r="775" ht="14.25" customHeight="1">
      <c r="V775" s="110"/>
      <c r="AE775" s="110"/>
      <c r="AF775" s="111"/>
    </row>
    <row r="776" ht="14.25" customHeight="1">
      <c r="V776" s="110"/>
      <c r="AE776" s="110"/>
      <c r="AF776" s="111"/>
    </row>
    <row r="777" ht="14.25" customHeight="1">
      <c r="V777" s="110"/>
      <c r="AE777" s="110"/>
      <c r="AF777" s="111"/>
    </row>
    <row r="778" ht="14.25" customHeight="1">
      <c r="V778" s="110"/>
      <c r="AE778" s="110"/>
      <c r="AF778" s="111"/>
    </row>
    <row r="779" ht="14.25" customHeight="1">
      <c r="V779" s="110"/>
      <c r="AE779" s="110"/>
      <c r="AF779" s="111"/>
    </row>
    <row r="780" ht="14.25" customHeight="1">
      <c r="V780" s="110"/>
      <c r="AE780" s="110"/>
      <c r="AF780" s="111"/>
    </row>
    <row r="781" ht="14.25" customHeight="1">
      <c r="V781" s="110"/>
      <c r="AE781" s="110"/>
      <c r="AF781" s="111"/>
    </row>
    <row r="782" ht="14.25" customHeight="1">
      <c r="V782" s="110"/>
      <c r="AE782" s="110"/>
      <c r="AF782" s="111"/>
    </row>
    <row r="783" ht="14.25" customHeight="1">
      <c r="V783" s="110"/>
      <c r="AE783" s="110"/>
      <c r="AF783" s="111"/>
    </row>
    <row r="784" ht="14.25" customHeight="1">
      <c r="V784" s="110"/>
      <c r="AE784" s="110"/>
      <c r="AF784" s="111"/>
    </row>
    <row r="785" ht="14.25" customHeight="1">
      <c r="V785" s="110"/>
      <c r="AE785" s="110"/>
      <c r="AF785" s="111"/>
    </row>
    <row r="786" ht="14.25" customHeight="1">
      <c r="V786" s="110"/>
      <c r="AE786" s="110"/>
      <c r="AF786" s="111"/>
    </row>
    <row r="787" ht="14.25" customHeight="1">
      <c r="V787" s="110"/>
      <c r="AE787" s="110"/>
      <c r="AF787" s="111"/>
    </row>
    <row r="788" ht="14.25" customHeight="1">
      <c r="V788" s="110"/>
      <c r="AE788" s="110"/>
      <c r="AF788" s="111"/>
    </row>
    <row r="789" ht="14.25" customHeight="1">
      <c r="V789" s="110"/>
      <c r="AE789" s="110"/>
      <c r="AF789" s="111"/>
    </row>
    <row r="790" ht="14.25" customHeight="1">
      <c r="V790" s="110"/>
      <c r="AE790" s="110"/>
      <c r="AF790" s="111"/>
    </row>
    <row r="791" ht="14.25" customHeight="1">
      <c r="V791" s="110"/>
      <c r="AE791" s="110"/>
      <c r="AF791" s="111"/>
    </row>
    <row r="792" ht="14.25" customHeight="1">
      <c r="V792" s="110"/>
      <c r="AE792" s="110"/>
      <c r="AF792" s="111"/>
    </row>
    <row r="793" ht="14.25" customHeight="1">
      <c r="V793" s="110"/>
      <c r="AE793" s="110"/>
      <c r="AF793" s="111"/>
    </row>
    <row r="794" ht="14.25" customHeight="1">
      <c r="V794" s="110"/>
      <c r="AE794" s="110"/>
      <c r="AF794" s="111"/>
    </row>
    <row r="795" ht="14.25" customHeight="1">
      <c r="V795" s="110"/>
      <c r="AE795" s="110"/>
      <c r="AF795" s="111"/>
    </row>
    <row r="796" ht="14.25" customHeight="1">
      <c r="V796" s="110"/>
      <c r="AE796" s="110"/>
      <c r="AF796" s="111"/>
    </row>
    <row r="797" ht="14.25" customHeight="1">
      <c r="V797" s="110"/>
      <c r="AE797" s="110"/>
      <c r="AF797" s="111"/>
    </row>
    <row r="798" ht="14.25" customHeight="1">
      <c r="V798" s="110"/>
      <c r="AE798" s="110"/>
      <c r="AF798" s="111"/>
    </row>
    <row r="799" ht="14.25" customHeight="1">
      <c r="V799" s="110"/>
      <c r="AE799" s="110"/>
      <c r="AF799" s="111"/>
    </row>
    <row r="800" ht="14.25" customHeight="1">
      <c r="V800" s="110"/>
      <c r="AE800" s="110"/>
      <c r="AF800" s="111"/>
    </row>
    <row r="801" ht="14.25" customHeight="1">
      <c r="V801" s="110"/>
      <c r="AE801" s="110"/>
      <c r="AF801" s="111"/>
    </row>
    <row r="802" ht="14.25" customHeight="1">
      <c r="V802" s="110"/>
      <c r="AE802" s="110"/>
      <c r="AF802" s="111"/>
    </row>
    <row r="803" ht="14.25" customHeight="1">
      <c r="V803" s="110"/>
      <c r="AE803" s="110"/>
      <c r="AF803" s="111"/>
    </row>
    <row r="804" ht="14.25" customHeight="1">
      <c r="V804" s="110"/>
      <c r="AE804" s="110"/>
      <c r="AF804" s="111"/>
    </row>
    <row r="805" ht="14.25" customHeight="1">
      <c r="V805" s="110"/>
      <c r="AE805" s="110"/>
      <c r="AF805" s="111"/>
    </row>
    <row r="806" ht="14.25" customHeight="1">
      <c r="V806" s="110"/>
      <c r="AE806" s="110"/>
      <c r="AF806" s="111"/>
    </row>
    <row r="807" ht="14.25" customHeight="1">
      <c r="V807" s="110"/>
      <c r="AE807" s="110"/>
      <c r="AF807" s="111"/>
    </row>
    <row r="808" ht="14.25" customHeight="1">
      <c r="V808" s="110"/>
      <c r="AE808" s="110"/>
      <c r="AF808" s="111"/>
    </row>
    <row r="809" ht="14.25" customHeight="1">
      <c r="V809" s="110"/>
      <c r="AE809" s="110"/>
      <c r="AF809" s="111"/>
    </row>
    <row r="810" ht="14.25" customHeight="1">
      <c r="V810" s="110"/>
      <c r="AE810" s="110"/>
      <c r="AF810" s="111"/>
    </row>
    <row r="811" ht="14.25" customHeight="1">
      <c r="V811" s="110"/>
      <c r="AE811" s="110"/>
      <c r="AF811" s="111"/>
    </row>
    <row r="812" ht="14.25" customHeight="1">
      <c r="V812" s="110"/>
      <c r="AE812" s="110"/>
      <c r="AF812" s="111"/>
    </row>
    <row r="813" ht="14.25" customHeight="1">
      <c r="V813" s="110"/>
      <c r="AE813" s="110"/>
      <c r="AF813" s="111"/>
    </row>
    <row r="814" ht="14.25" customHeight="1">
      <c r="V814" s="110"/>
      <c r="AE814" s="110"/>
      <c r="AF814" s="111"/>
    </row>
    <row r="815" ht="14.25" customHeight="1">
      <c r="V815" s="110"/>
      <c r="AE815" s="110"/>
      <c r="AF815" s="111"/>
    </row>
    <row r="816" ht="14.25" customHeight="1">
      <c r="V816" s="110"/>
      <c r="AE816" s="110"/>
      <c r="AF816" s="111"/>
    </row>
    <row r="817" ht="14.25" customHeight="1">
      <c r="V817" s="110"/>
      <c r="AE817" s="110"/>
      <c r="AF817" s="111"/>
    </row>
    <row r="818" ht="14.25" customHeight="1">
      <c r="V818" s="110"/>
      <c r="AE818" s="110"/>
      <c r="AF818" s="111"/>
    </row>
    <row r="819" ht="14.25" customHeight="1">
      <c r="V819" s="110"/>
      <c r="AE819" s="110"/>
      <c r="AF819" s="111"/>
    </row>
    <row r="820" ht="14.25" customHeight="1">
      <c r="V820" s="110"/>
      <c r="AE820" s="110"/>
      <c r="AF820" s="111"/>
    </row>
    <row r="821" ht="14.25" customHeight="1">
      <c r="V821" s="110"/>
      <c r="AE821" s="110"/>
      <c r="AF821" s="111"/>
    </row>
    <row r="822" ht="14.25" customHeight="1">
      <c r="V822" s="110"/>
      <c r="AE822" s="110"/>
      <c r="AF822" s="111"/>
    </row>
    <row r="823" ht="14.25" customHeight="1">
      <c r="V823" s="110"/>
      <c r="AE823" s="110"/>
      <c r="AF823" s="111"/>
    </row>
    <row r="824" ht="14.25" customHeight="1">
      <c r="V824" s="110"/>
      <c r="AE824" s="110"/>
      <c r="AF824" s="111"/>
    </row>
    <row r="825" ht="14.25" customHeight="1">
      <c r="V825" s="110"/>
      <c r="AE825" s="110"/>
      <c r="AF825" s="111"/>
    </row>
    <row r="826" ht="14.25" customHeight="1">
      <c r="V826" s="110"/>
      <c r="AE826" s="110"/>
      <c r="AF826" s="111"/>
    </row>
    <row r="827" ht="14.25" customHeight="1">
      <c r="V827" s="110"/>
      <c r="AE827" s="110"/>
      <c r="AF827" s="111"/>
    </row>
    <row r="828" ht="14.25" customHeight="1">
      <c r="V828" s="110"/>
      <c r="AE828" s="110"/>
      <c r="AF828" s="111"/>
    </row>
    <row r="829" ht="14.25" customHeight="1">
      <c r="V829" s="110"/>
      <c r="AE829" s="110"/>
      <c r="AF829" s="111"/>
    </row>
    <row r="830" ht="14.25" customHeight="1">
      <c r="V830" s="110"/>
      <c r="AE830" s="110"/>
      <c r="AF830" s="111"/>
    </row>
    <row r="831" ht="14.25" customHeight="1">
      <c r="V831" s="110"/>
      <c r="AE831" s="110"/>
      <c r="AF831" s="111"/>
    </row>
    <row r="832" ht="14.25" customHeight="1">
      <c r="V832" s="110"/>
      <c r="AE832" s="110"/>
      <c r="AF832" s="111"/>
    </row>
    <row r="833" ht="14.25" customHeight="1">
      <c r="V833" s="110"/>
      <c r="AE833" s="110"/>
      <c r="AF833" s="111"/>
    </row>
    <row r="834" ht="14.25" customHeight="1">
      <c r="V834" s="110"/>
      <c r="AE834" s="110"/>
      <c r="AF834" s="111"/>
    </row>
    <row r="835" ht="14.25" customHeight="1">
      <c r="V835" s="110"/>
      <c r="AE835" s="110"/>
      <c r="AF835" s="111"/>
    </row>
    <row r="836" ht="14.25" customHeight="1">
      <c r="V836" s="110"/>
      <c r="AE836" s="110"/>
      <c r="AF836" s="111"/>
    </row>
    <row r="837" ht="14.25" customHeight="1">
      <c r="V837" s="110"/>
      <c r="AE837" s="110"/>
      <c r="AF837" s="111"/>
    </row>
    <row r="838" ht="14.25" customHeight="1">
      <c r="V838" s="110"/>
      <c r="AE838" s="110"/>
      <c r="AF838" s="111"/>
    </row>
    <row r="839" ht="14.25" customHeight="1">
      <c r="V839" s="110"/>
      <c r="AE839" s="110"/>
      <c r="AF839" s="111"/>
    </row>
    <row r="840" ht="14.25" customHeight="1">
      <c r="V840" s="110"/>
      <c r="AE840" s="110"/>
      <c r="AF840" s="111"/>
    </row>
    <row r="841" ht="14.25" customHeight="1">
      <c r="V841" s="110"/>
      <c r="AE841" s="110"/>
      <c r="AF841" s="111"/>
    </row>
    <row r="842" ht="14.25" customHeight="1">
      <c r="V842" s="110"/>
      <c r="AE842" s="110"/>
      <c r="AF842" s="111"/>
    </row>
    <row r="843" ht="14.25" customHeight="1">
      <c r="V843" s="110"/>
      <c r="AE843" s="110"/>
      <c r="AF843" s="111"/>
    </row>
    <row r="844" ht="14.25" customHeight="1">
      <c r="V844" s="110"/>
      <c r="AE844" s="110"/>
      <c r="AF844" s="111"/>
    </row>
    <row r="845" ht="14.25" customHeight="1">
      <c r="V845" s="110"/>
      <c r="AE845" s="110"/>
      <c r="AF845" s="111"/>
    </row>
    <row r="846" ht="14.25" customHeight="1">
      <c r="V846" s="110"/>
      <c r="AE846" s="110"/>
      <c r="AF846" s="111"/>
    </row>
    <row r="847" ht="14.25" customHeight="1">
      <c r="V847" s="110"/>
      <c r="AE847" s="110"/>
      <c r="AF847" s="111"/>
    </row>
    <row r="848" ht="14.25" customHeight="1">
      <c r="V848" s="110"/>
      <c r="AE848" s="110"/>
      <c r="AF848" s="111"/>
    </row>
    <row r="849" ht="14.25" customHeight="1">
      <c r="V849" s="110"/>
      <c r="AE849" s="110"/>
      <c r="AF849" s="111"/>
    </row>
    <row r="850" ht="14.25" customHeight="1">
      <c r="V850" s="110"/>
      <c r="AE850" s="110"/>
      <c r="AF850" s="111"/>
    </row>
    <row r="851" ht="14.25" customHeight="1">
      <c r="V851" s="110"/>
      <c r="AE851" s="110"/>
      <c r="AF851" s="111"/>
    </row>
    <row r="852" ht="14.25" customHeight="1">
      <c r="V852" s="110"/>
      <c r="AE852" s="110"/>
      <c r="AF852" s="111"/>
    </row>
    <row r="853" ht="14.25" customHeight="1">
      <c r="V853" s="110"/>
      <c r="AE853" s="110"/>
      <c r="AF853" s="111"/>
    </row>
    <row r="854" ht="14.25" customHeight="1">
      <c r="V854" s="110"/>
      <c r="AE854" s="110"/>
      <c r="AF854" s="111"/>
    </row>
    <row r="855" ht="14.25" customHeight="1">
      <c r="V855" s="110"/>
      <c r="AE855" s="110"/>
      <c r="AF855" s="111"/>
    </row>
    <row r="856" ht="14.25" customHeight="1">
      <c r="V856" s="110"/>
      <c r="AE856" s="110"/>
      <c r="AF856" s="111"/>
    </row>
    <row r="857" ht="14.25" customHeight="1">
      <c r="V857" s="110"/>
      <c r="AE857" s="110"/>
      <c r="AF857" s="111"/>
    </row>
    <row r="858" ht="14.25" customHeight="1">
      <c r="V858" s="110"/>
      <c r="AE858" s="110"/>
      <c r="AF858" s="111"/>
    </row>
    <row r="859" ht="14.25" customHeight="1">
      <c r="V859" s="110"/>
      <c r="AE859" s="110"/>
      <c r="AF859" s="111"/>
    </row>
    <row r="860" ht="14.25" customHeight="1">
      <c r="V860" s="110"/>
      <c r="AE860" s="110"/>
      <c r="AF860" s="111"/>
    </row>
    <row r="861" ht="14.25" customHeight="1">
      <c r="V861" s="110"/>
      <c r="AE861" s="110"/>
      <c r="AF861" s="111"/>
    </row>
    <row r="862" ht="14.25" customHeight="1">
      <c r="V862" s="110"/>
      <c r="AE862" s="110"/>
      <c r="AF862" s="111"/>
    </row>
    <row r="863" ht="14.25" customHeight="1">
      <c r="V863" s="110"/>
      <c r="AE863" s="110"/>
      <c r="AF863" s="111"/>
    </row>
    <row r="864" ht="14.25" customHeight="1">
      <c r="V864" s="110"/>
      <c r="AE864" s="110"/>
      <c r="AF864" s="111"/>
    </row>
    <row r="865" ht="14.25" customHeight="1">
      <c r="V865" s="110"/>
      <c r="AE865" s="110"/>
      <c r="AF865" s="111"/>
    </row>
    <row r="866" ht="14.25" customHeight="1">
      <c r="V866" s="110"/>
      <c r="AE866" s="110"/>
      <c r="AF866" s="111"/>
    </row>
    <row r="867" ht="14.25" customHeight="1">
      <c r="V867" s="110"/>
      <c r="AE867" s="110"/>
      <c r="AF867" s="111"/>
    </row>
    <row r="868" ht="14.25" customHeight="1">
      <c r="V868" s="110"/>
      <c r="AE868" s="110"/>
      <c r="AF868" s="111"/>
    </row>
    <row r="869" ht="14.25" customHeight="1">
      <c r="V869" s="110"/>
      <c r="AE869" s="110"/>
      <c r="AF869" s="111"/>
    </row>
    <row r="870" ht="14.25" customHeight="1">
      <c r="V870" s="110"/>
      <c r="AE870" s="110"/>
      <c r="AF870" s="111"/>
    </row>
    <row r="871" ht="14.25" customHeight="1">
      <c r="V871" s="110"/>
      <c r="AE871" s="110"/>
      <c r="AF871" s="111"/>
    </row>
    <row r="872" ht="14.25" customHeight="1">
      <c r="V872" s="110"/>
      <c r="AE872" s="110"/>
      <c r="AF872" s="111"/>
    </row>
    <row r="873" ht="14.25" customHeight="1">
      <c r="V873" s="110"/>
      <c r="AE873" s="110"/>
      <c r="AF873" s="111"/>
    </row>
    <row r="874" ht="14.25" customHeight="1">
      <c r="V874" s="110"/>
      <c r="AE874" s="110"/>
      <c r="AF874" s="111"/>
    </row>
    <row r="875" ht="14.25" customHeight="1">
      <c r="V875" s="110"/>
      <c r="AE875" s="110"/>
      <c r="AF875" s="111"/>
    </row>
    <row r="876" ht="14.25" customHeight="1">
      <c r="V876" s="110"/>
      <c r="AE876" s="110"/>
      <c r="AF876" s="111"/>
    </row>
    <row r="877" ht="14.25" customHeight="1">
      <c r="V877" s="110"/>
      <c r="AE877" s="110"/>
      <c r="AF877" s="111"/>
    </row>
    <row r="878" ht="14.25" customHeight="1">
      <c r="V878" s="110"/>
      <c r="AE878" s="110"/>
      <c r="AF878" s="111"/>
    </row>
    <row r="879" ht="14.25" customHeight="1">
      <c r="V879" s="110"/>
      <c r="AE879" s="110"/>
      <c r="AF879" s="111"/>
    </row>
    <row r="880" ht="14.25" customHeight="1">
      <c r="V880" s="110"/>
      <c r="AE880" s="110"/>
      <c r="AF880" s="111"/>
    </row>
    <row r="881" ht="14.25" customHeight="1">
      <c r="V881" s="110"/>
      <c r="AE881" s="110"/>
      <c r="AF881" s="111"/>
    </row>
    <row r="882" ht="14.25" customHeight="1">
      <c r="V882" s="110"/>
      <c r="AE882" s="110"/>
      <c r="AF882" s="111"/>
    </row>
    <row r="883" ht="14.25" customHeight="1">
      <c r="V883" s="110"/>
      <c r="AE883" s="110"/>
      <c r="AF883" s="111"/>
    </row>
    <row r="884" ht="14.25" customHeight="1">
      <c r="V884" s="110"/>
      <c r="AE884" s="110"/>
      <c r="AF884" s="111"/>
    </row>
    <row r="885" ht="14.25" customHeight="1">
      <c r="V885" s="110"/>
      <c r="AE885" s="110"/>
      <c r="AF885" s="111"/>
    </row>
    <row r="886" ht="14.25" customHeight="1">
      <c r="V886" s="110"/>
      <c r="AE886" s="110"/>
      <c r="AF886" s="111"/>
    </row>
    <row r="887" ht="14.25" customHeight="1">
      <c r="V887" s="110"/>
      <c r="AE887" s="110"/>
      <c r="AF887" s="111"/>
    </row>
    <row r="888" ht="14.25" customHeight="1">
      <c r="V888" s="110"/>
      <c r="AE888" s="110"/>
      <c r="AF888" s="111"/>
    </row>
    <row r="889" ht="14.25" customHeight="1">
      <c r="V889" s="110"/>
      <c r="AE889" s="110"/>
      <c r="AF889" s="111"/>
    </row>
    <row r="890" ht="14.25" customHeight="1">
      <c r="V890" s="110"/>
      <c r="AE890" s="110"/>
      <c r="AF890" s="111"/>
    </row>
    <row r="891" ht="14.25" customHeight="1">
      <c r="V891" s="110"/>
      <c r="AE891" s="110"/>
      <c r="AF891" s="111"/>
    </row>
    <row r="892" ht="14.25" customHeight="1">
      <c r="V892" s="110"/>
      <c r="AE892" s="110"/>
      <c r="AF892" s="111"/>
    </row>
    <row r="893" ht="14.25" customHeight="1">
      <c r="V893" s="110"/>
      <c r="AE893" s="110"/>
      <c r="AF893" s="111"/>
    </row>
    <row r="894" ht="14.25" customHeight="1">
      <c r="V894" s="110"/>
      <c r="AE894" s="110"/>
      <c r="AF894" s="111"/>
    </row>
    <row r="895" ht="14.25" customHeight="1">
      <c r="V895" s="110"/>
      <c r="AE895" s="110"/>
      <c r="AF895" s="111"/>
    </row>
    <row r="896" ht="14.25" customHeight="1">
      <c r="V896" s="110"/>
      <c r="AE896" s="110"/>
      <c r="AF896" s="111"/>
    </row>
    <row r="897" ht="14.25" customHeight="1">
      <c r="V897" s="110"/>
      <c r="AE897" s="110"/>
      <c r="AF897" s="111"/>
    </row>
    <row r="898" ht="14.25" customHeight="1">
      <c r="V898" s="110"/>
      <c r="AE898" s="110"/>
      <c r="AF898" s="111"/>
    </row>
    <row r="899" ht="14.25" customHeight="1">
      <c r="V899" s="110"/>
      <c r="AE899" s="110"/>
      <c r="AF899" s="111"/>
    </row>
    <row r="900" ht="14.25" customHeight="1">
      <c r="V900" s="110"/>
      <c r="AE900" s="110"/>
      <c r="AF900" s="111"/>
    </row>
    <row r="901" ht="14.25" customHeight="1">
      <c r="V901" s="110"/>
      <c r="AE901" s="110"/>
      <c r="AF901" s="111"/>
    </row>
    <row r="902" ht="14.25" customHeight="1">
      <c r="V902" s="110"/>
      <c r="AE902" s="110"/>
      <c r="AF902" s="111"/>
    </row>
    <row r="903" ht="14.25" customHeight="1">
      <c r="V903" s="110"/>
      <c r="AE903" s="110"/>
      <c r="AF903" s="111"/>
    </row>
    <row r="904" ht="14.25" customHeight="1">
      <c r="V904" s="110"/>
      <c r="AE904" s="110"/>
      <c r="AF904" s="111"/>
    </row>
    <row r="905" ht="14.25" customHeight="1">
      <c r="V905" s="110"/>
      <c r="AE905" s="110"/>
      <c r="AF905" s="111"/>
    </row>
    <row r="906" ht="14.25" customHeight="1">
      <c r="V906" s="110"/>
      <c r="AE906" s="110"/>
      <c r="AF906" s="111"/>
    </row>
    <row r="907" ht="14.25" customHeight="1">
      <c r="V907" s="110"/>
      <c r="AE907" s="110"/>
      <c r="AF907" s="111"/>
    </row>
    <row r="908" ht="14.25" customHeight="1">
      <c r="V908" s="110"/>
      <c r="AE908" s="110"/>
      <c r="AF908" s="111"/>
    </row>
    <row r="909" ht="14.25" customHeight="1">
      <c r="V909" s="110"/>
      <c r="AE909" s="110"/>
      <c r="AF909" s="111"/>
    </row>
    <row r="910" ht="14.25" customHeight="1">
      <c r="V910" s="110"/>
      <c r="AE910" s="110"/>
      <c r="AF910" s="111"/>
    </row>
    <row r="911" ht="14.25" customHeight="1">
      <c r="V911" s="110"/>
      <c r="AE911" s="110"/>
      <c r="AF911" s="111"/>
    </row>
    <row r="912" ht="14.25" customHeight="1">
      <c r="V912" s="110"/>
      <c r="AE912" s="110"/>
      <c r="AF912" s="111"/>
    </row>
    <row r="913" ht="14.25" customHeight="1">
      <c r="V913" s="110"/>
      <c r="AE913" s="110"/>
      <c r="AF913" s="111"/>
    </row>
    <row r="914" ht="14.25" customHeight="1">
      <c r="V914" s="110"/>
      <c r="AE914" s="110"/>
      <c r="AF914" s="111"/>
    </row>
    <row r="915" ht="14.25" customHeight="1">
      <c r="V915" s="110"/>
      <c r="AE915" s="110"/>
      <c r="AF915" s="111"/>
    </row>
    <row r="916" ht="14.25" customHeight="1">
      <c r="V916" s="110"/>
      <c r="AE916" s="110"/>
      <c r="AF916" s="111"/>
    </row>
    <row r="917" ht="14.25" customHeight="1">
      <c r="V917" s="110"/>
      <c r="AE917" s="110"/>
      <c r="AF917" s="111"/>
    </row>
    <row r="918" ht="14.25" customHeight="1">
      <c r="V918" s="110"/>
      <c r="AE918" s="110"/>
      <c r="AF918" s="111"/>
    </row>
    <row r="919" ht="14.25" customHeight="1">
      <c r="V919" s="110"/>
      <c r="AE919" s="110"/>
      <c r="AF919" s="111"/>
    </row>
    <row r="920" ht="14.25" customHeight="1">
      <c r="V920" s="110"/>
      <c r="AE920" s="110"/>
      <c r="AF920" s="111"/>
    </row>
    <row r="921" ht="14.25" customHeight="1">
      <c r="V921" s="110"/>
      <c r="AE921" s="110"/>
      <c r="AF921" s="111"/>
    </row>
    <row r="922" ht="14.25" customHeight="1">
      <c r="V922" s="110"/>
      <c r="AE922" s="110"/>
      <c r="AF922" s="111"/>
    </row>
    <row r="923" ht="14.25" customHeight="1">
      <c r="V923" s="110"/>
      <c r="AE923" s="110"/>
      <c r="AF923" s="111"/>
    </row>
    <row r="924" ht="14.25" customHeight="1">
      <c r="V924" s="110"/>
      <c r="AE924" s="110"/>
      <c r="AF924" s="111"/>
    </row>
    <row r="925" ht="14.25" customHeight="1">
      <c r="V925" s="110"/>
      <c r="AE925" s="110"/>
      <c r="AF925" s="111"/>
    </row>
    <row r="926" ht="14.25" customHeight="1">
      <c r="V926" s="110"/>
      <c r="AE926" s="110"/>
      <c r="AF926" s="111"/>
    </row>
    <row r="927" ht="14.25" customHeight="1">
      <c r="V927" s="110"/>
      <c r="AE927" s="110"/>
      <c r="AF927" s="111"/>
    </row>
    <row r="928" ht="14.25" customHeight="1">
      <c r="V928" s="110"/>
      <c r="AE928" s="110"/>
      <c r="AF928" s="111"/>
    </row>
    <row r="929" ht="14.25" customHeight="1">
      <c r="V929" s="110"/>
      <c r="AE929" s="110"/>
      <c r="AF929" s="111"/>
    </row>
    <row r="930" ht="14.25" customHeight="1">
      <c r="V930" s="110"/>
      <c r="AE930" s="110"/>
      <c r="AF930" s="111"/>
    </row>
    <row r="931" ht="14.25" customHeight="1">
      <c r="V931" s="110"/>
      <c r="AE931" s="110"/>
      <c r="AF931" s="111"/>
    </row>
    <row r="932" ht="14.25" customHeight="1">
      <c r="V932" s="110"/>
      <c r="AE932" s="110"/>
      <c r="AF932" s="111"/>
    </row>
    <row r="933" ht="14.25" customHeight="1">
      <c r="V933" s="110"/>
      <c r="AE933" s="110"/>
      <c r="AF933" s="111"/>
    </row>
    <row r="934" ht="14.25" customHeight="1">
      <c r="V934" s="110"/>
      <c r="AE934" s="110"/>
      <c r="AF934" s="111"/>
    </row>
    <row r="935" ht="14.25" customHeight="1">
      <c r="V935" s="110"/>
      <c r="AE935" s="110"/>
      <c r="AF935" s="111"/>
    </row>
    <row r="936" ht="14.25" customHeight="1">
      <c r="V936" s="110"/>
      <c r="AE936" s="110"/>
      <c r="AF936" s="111"/>
    </row>
    <row r="937" ht="14.25" customHeight="1">
      <c r="V937" s="110"/>
      <c r="AE937" s="110"/>
      <c r="AF937" s="111"/>
    </row>
    <row r="938" ht="14.25" customHeight="1">
      <c r="V938" s="110"/>
      <c r="AE938" s="110"/>
      <c r="AF938" s="111"/>
    </row>
    <row r="939" ht="14.25" customHeight="1">
      <c r="V939" s="110"/>
      <c r="AE939" s="110"/>
      <c r="AF939" s="111"/>
    </row>
    <row r="940" ht="14.25" customHeight="1">
      <c r="V940" s="110"/>
      <c r="AE940" s="110"/>
      <c r="AF940" s="111"/>
    </row>
    <row r="941" ht="14.25" customHeight="1">
      <c r="V941" s="110"/>
      <c r="AE941" s="110"/>
      <c r="AF941" s="111"/>
    </row>
    <row r="942" ht="14.25" customHeight="1">
      <c r="V942" s="110"/>
      <c r="AE942" s="110"/>
      <c r="AF942" s="111"/>
    </row>
    <row r="943" ht="14.25" customHeight="1">
      <c r="V943" s="110"/>
      <c r="AE943" s="110"/>
      <c r="AF943" s="111"/>
    </row>
    <row r="944" ht="14.25" customHeight="1">
      <c r="V944" s="110"/>
      <c r="AE944" s="110"/>
      <c r="AF944" s="111"/>
    </row>
    <row r="945" ht="14.25" customHeight="1">
      <c r="V945" s="110"/>
      <c r="AE945" s="110"/>
      <c r="AF945" s="111"/>
    </row>
    <row r="946" ht="14.25" customHeight="1">
      <c r="V946" s="110"/>
      <c r="AE946" s="110"/>
      <c r="AF946" s="111"/>
    </row>
    <row r="947" ht="14.25" customHeight="1">
      <c r="V947" s="110"/>
      <c r="AE947" s="110"/>
      <c r="AF947" s="111"/>
    </row>
    <row r="948" ht="14.25" customHeight="1">
      <c r="V948" s="110"/>
      <c r="AE948" s="110"/>
      <c r="AF948" s="111"/>
    </row>
    <row r="949" ht="14.25" customHeight="1">
      <c r="V949" s="110"/>
      <c r="AE949" s="110"/>
      <c r="AF949" s="111"/>
    </row>
    <row r="950" ht="14.25" customHeight="1">
      <c r="V950" s="110"/>
      <c r="AE950" s="110"/>
      <c r="AF950" s="111"/>
    </row>
    <row r="951" ht="14.25" customHeight="1">
      <c r="V951" s="110"/>
      <c r="AE951" s="110"/>
      <c r="AF951" s="111"/>
    </row>
    <row r="952" ht="14.25" customHeight="1">
      <c r="V952" s="110"/>
      <c r="AE952" s="110"/>
      <c r="AF952" s="111"/>
    </row>
    <row r="953" ht="14.25" customHeight="1">
      <c r="V953" s="110"/>
      <c r="AE953" s="110"/>
      <c r="AF953" s="111"/>
    </row>
    <row r="954" ht="14.25" customHeight="1">
      <c r="V954" s="110"/>
      <c r="AE954" s="110"/>
      <c r="AF954" s="111"/>
    </row>
    <row r="955" ht="14.25" customHeight="1">
      <c r="V955" s="110"/>
      <c r="AE955" s="110"/>
      <c r="AF955" s="111"/>
    </row>
    <row r="956" ht="14.25" customHeight="1">
      <c r="V956" s="110"/>
      <c r="AE956" s="110"/>
      <c r="AF956" s="111"/>
    </row>
    <row r="957" ht="14.25" customHeight="1">
      <c r="V957" s="110"/>
      <c r="AE957" s="110"/>
      <c r="AF957" s="111"/>
    </row>
    <row r="958" ht="14.25" customHeight="1">
      <c r="V958" s="110"/>
      <c r="AE958" s="110"/>
      <c r="AF958" s="111"/>
    </row>
    <row r="959" ht="14.25" customHeight="1">
      <c r="V959" s="110"/>
      <c r="AE959" s="110"/>
      <c r="AF959" s="111"/>
    </row>
    <row r="960" ht="14.25" customHeight="1">
      <c r="V960" s="110"/>
      <c r="AE960" s="110"/>
      <c r="AF960" s="111"/>
    </row>
    <row r="961" ht="14.25" customHeight="1">
      <c r="V961" s="110"/>
      <c r="AE961" s="110"/>
      <c r="AF961" s="111"/>
    </row>
    <row r="962" ht="14.25" customHeight="1">
      <c r="V962" s="110"/>
      <c r="AE962" s="110"/>
      <c r="AF962" s="111"/>
    </row>
    <row r="963" ht="14.25" customHeight="1">
      <c r="V963" s="110"/>
      <c r="AE963" s="110"/>
      <c r="AF963" s="111"/>
    </row>
    <row r="964" ht="14.25" customHeight="1">
      <c r="V964" s="110"/>
      <c r="AE964" s="110"/>
      <c r="AF964" s="111"/>
    </row>
    <row r="965" ht="14.25" customHeight="1">
      <c r="V965" s="110"/>
      <c r="AE965" s="110"/>
      <c r="AF965" s="111"/>
    </row>
    <row r="966" ht="14.25" customHeight="1">
      <c r="V966" s="110"/>
      <c r="AE966" s="110"/>
      <c r="AF966" s="111"/>
    </row>
    <row r="967" ht="14.25" customHeight="1">
      <c r="V967" s="110"/>
      <c r="AE967" s="110"/>
      <c r="AF967" s="111"/>
    </row>
    <row r="968" ht="14.25" customHeight="1">
      <c r="V968" s="110"/>
      <c r="AE968" s="110"/>
      <c r="AF968" s="111"/>
    </row>
    <row r="969" ht="14.25" customHeight="1">
      <c r="V969" s="110"/>
      <c r="AE969" s="110"/>
      <c r="AF969" s="111"/>
    </row>
    <row r="970" ht="14.25" customHeight="1">
      <c r="V970" s="110"/>
      <c r="AE970" s="110"/>
      <c r="AF970" s="111"/>
    </row>
    <row r="971" ht="14.25" customHeight="1">
      <c r="V971" s="110"/>
      <c r="AE971" s="110"/>
      <c r="AF971" s="111"/>
    </row>
    <row r="972" ht="14.25" customHeight="1">
      <c r="V972" s="110"/>
      <c r="AE972" s="110"/>
      <c r="AF972" s="111"/>
    </row>
    <row r="973" ht="14.25" customHeight="1">
      <c r="V973" s="110"/>
      <c r="AE973" s="110"/>
      <c r="AF973" s="111"/>
    </row>
    <row r="974" ht="14.25" customHeight="1">
      <c r="V974" s="110"/>
      <c r="AE974" s="110"/>
      <c r="AF974" s="111"/>
    </row>
    <row r="975" ht="14.25" customHeight="1">
      <c r="V975" s="110"/>
      <c r="AE975" s="110"/>
      <c r="AF975" s="111"/>
    </row>
    <row r="976" ht="14.25" customHeight="1">
      <c r="V976" s="110"/>
      <c r="AE976" s="110"/>
      <c r="AF976" s="111"/>
    </row>
    <row r="977" ht="14.25" customHeight="1">
      <c r="V977" s="110"/>
      <c r="AE977" s="110"/>
      <c r="AF977" s="111"/>
    </row>
    <row r="978" ht="14.25" customHeight="1">
      <c r="V978" s="110"/>
      <c r="AE978" s="110"/>
      <c r="AF978" s="111"/>
    </row>
    <row r="979">
      <c r="V979" s="110"/>
      <c r="AE979" s="110"/>
      <c r="AF979" s="111"/>
    </row>
    <row r="980">
      <c r="V980" s="110"/>
      <c r="AE980" s="110"/>
      <c r="AF980" s="111"/>
    </row>
    <row r="981">
      <c r="V981" s="110"/>
      <c r="AE981" s="110"/>
      <c r="AF981" s="111"/>
    </row>
    <row r="982">
      <c r="V982" s="110"/>
      <c r="AE982" s="110"/>
      <c r="AF982" s="111"/>
    </row>
    <row r="983">
      <c r="V983" s="110"/>
      <c r="AE983" s="110"/>
      <c r="AF983" s="111"/>
    </row>
    <row r="984">
      <c r="V984" s="110"/>
      <c r="AE984" s="110"/>
      <c r="AF984" s="111"/>
    </row>
    <row r="985">
      <c r="V985" s="110"/>
      <c r="AE985" s="110"/>
      <c r="AF985" s="111"/>
    </row>
    <row r="986">
      <c r="V986" s="110"/>
      <c r="AE986" s="110"/>
      <c r="AF986" s="111"/>
    </row>
    <row r="987">
      <c r="V987" s="110"/>
      <c r="AE987" s="110"/>
      <c r="AF987" s="111"/>
    </row>
    <row r="988">
      <c r="V988" s="110"/>
      <c r="AE988" s="110"/>
      <c r="AF988" s="111"/>
    </row>
    <row r="989">
      <c r="V989" s="110"/>
      <c r="AE989" s="110"/>
      <c r="AF989" s="111"/>
    </row>
    <row r="990">
      <c r="V990" s="110"/>
      <c r="AE990" s="110"/>
      <c r="AF990" s="111"/>
    </row>
    <row r="991">
      <c r="V991" s="110"/>
      <c r="AE991" s="110"/>
      <c r="AF991" s="111"/>
    </row>
    <row r="992">
      <c r="V992" s="110"/>
      <c r="AE992" s="110"/>
      <c r="AF992" s="111"/>
    </row>
    <row r="993">
      <c r="V993" s="110"/>
      <c r="AE993" s="110"/>
      <c r="AF993" s="111"/>
    </row>
    <row r="994">
      <c r="V994" s="110"/>
      <c r="AE994" s="110"/>
      <c r="AF994" s="111"/>
    </row>
    <row r="995">
      <c r="V995" s="110"/>
      <c r="AE995" s="110"/>
      <c r="AF995" s="111"/>
    </row>
    <row r="996">
      <c r="V996" s="110"/>
      <c r="AE996" s="110"/>
      <c r="AF996" s="111"/>
    </row>
    <row r="997">
      <c r="V997" s="110"/>
      <c r="AE997" s="110"/>
      <c r="AF997" s="111"/>
    </row>
    <row r="998">
      <c r="V998" s="110"/>
      <c r="AE998" s="110"/>
      <c r="AF998" s="111"/>
    </row>
    <row r="999">
      <c r="V999" s="110"/>
      <c r="AE999" s="110"/>
      <c r="AF999" s="111"/>
    </row>
    <row r="1000">
      <c r="V1000" s="110"/>
      <c r="AE1000" s="110"/>
      <c r="AF1000" s="111"/>
    </row>
    <row r="1001">
      <c r="V1001" s="110"/>
      <c r="AE1001" s="110"/>
      <c r="AF1001" s="111"/>
    </row>
    <row r="1002">
      <c r="V1002" s="110"/>
      <c r="AE1002" s="110"/>
      <c r="AF1002" s="111"/>
    </row>
    <row r="1003">
      <c r="V1003" s="110"/>
      <c r="AE1003" s="110"/>
      <c r="AF1003" s="111"/>
    </row>
  </sheetData>
  <customSheetViews>
    <customSheetView guid="{56F4F973-DF0D-495C-B4E6-52C9BA7FBB5F}" filter="1" showAutoFilter="1">
      <autoFilter ref="$A$1:$AZ$117"/>
      <extLst>
        <ext uri="GoogleSheetsCustomDataVersion1">
          <go:sheetsCustomData xmlns:go="http://customooxmlschemas.google.com/" filterViewId="1105212712"/>
        </ext>
      </extLst>
    </customSheetView>
  </customSheetViews>
  <dataValidations>
    <dataValidation type="list" allowBlank="1" showErrorMessage="1" sqref="B2:B92">
      <formula1>"hydro-reservoir,hydro-run-of-river,solar,wind,coal,biomass,Diversion dam"</formula1>
    </dataValidation>
    <dataValidation type="list" allowBlank="1" showErrorMessage="1" sqref="Z2:Z92">
      <formula1>"Northern,Central,Southern"</formula1>
    </dataValidation>
    <dataValidation type="list" allowBlank="1" showErrorMessage="1" sqref="AG2:AG92">
      <formula1>#REF!</formula1>
    </dataValidation>
  </dataValidations>
  <hyperlinks>
    <hyperlink r:id="rId1" ref="AI2"/>
    <hyperlink r:id="rId2" ref="AI3"/>
    <hyperlink r:id="rId3" ref="AI4"/>
    <hyperlink r:id="rId4" ref="AI5"/>
    <hyperlink r:id="rId5" ref="AJ5"/>
    <hyperlink r:id="rId6" ref="AI6"/>
    <hyperlink r:id="rId7" ref="AJ6"/>
    <hyperlink r:id="rId8" ref="AI7"/>
    <hyperlink r:id="rId9" ref="AJ7"/>
    <hyperlink r:id="rId10" ref="AI8"/>
    <hyperlink r:id="rId11" ref="AJ8"/>
    <hyperlink r:id="rId12" ref="AI9"/>
    <hyperlink r:id="rId13" ref="AJ9"/>
    <hyperlink r:id="rId14" ref="AI10"/>
    <hyperlink r:id="rId15" ref="AI11"/>
    <hyperlink r:id="rId16" ref="AJ11"/>
    <hyperlink r:id="rId17" ref="AI12"/>
    <hyperlink r:id="rId18" ref="AI13"/>
    <hyperlink r:id="rId19" ref="AI14"/>
    <hyperlink r:id="rId20" location=":~:text=The%20water%20level%20of%20the,the%20plateau%2C%20and%20released%20to" ref="AJ14"/>
    <hyperlink r:id="rId21" ref="AI15"/>
    <hyperlink r:id="rId22" ref="AI16"/>
    <hyperlink r:id="rId23" ref="AJ16"/>
    <hyperlink r:id="rId24" ref="AI17"/>
    <hyperlink r:id="rId25" ref="AJ17"/>
    <hyperlink r:id="rId26" ref="AI18"/>
    <hyperlink r:id="rId27" ref="AI19"/>
    <hyperlink r:id="rId28" ref="AJ19"/>
    <hyperlink r:id="rId29" ref="AI20"/>
    <hyperlink r:id="rId30" ref="AJ20"/>
    <hyperlink r:id="rId31" ref="AI21"/>
    <hyperlink r:id="rId32" ref="AJ21"/>
    <hyperlink r:id="rId33" ref="AI22"/>
    <hyperlink r:id="rId34" ref="AJ22"/>
    <hyperlink r:id="rId35" ref="AI23"/>
    <hyperlink r:id="rId36" ref="AJ23"/>
    <hyperlink r:id="rId37" ref="AI24"/>
    <hyperlink r:id="rId38" ref="AJ24"/>
    <hyperlink r:id="rId39" ref="AI25"/>
    <hyperlink r:id="rId40" ref="AJ25"/>
    <hyperlink r:id="rId41" ref="AI26"/>
    <hyperlink r:id="rId42" ref="AJ26"/>
    <hyperlink r:id="rId43" ref="AI27"/>
    <hyperlink r:id="rId44" ref="AI28"/>
    <hyperlink r:id="rId45" ref="AI29"/>
    <hyperlink r:id="rId46" ref="AI30"/>
    <hyperlink r:id="rId47" ref="AJ30"/>
    <hyperlink r:id="rId48" ref="AI31"/>
    <hyperlink r:id="rId49" ref="AI32"/>
    <hyperlink r:id="rId50" ref="AI33"/>
    <hyperlink r:id="rId51" ref="AJ33"/>
    <hyperlink r:id="rId52" ref="AI34"/>
    <hyperlink r:id="rId53" ref="AJ34"/>
    <hyperlink r:id="rId54" ref="AJ35"/>
    <hyperlink r:id="rId55" ref="AI36"/>
    <hyperlink r:id="rId56" ref="AI37"/>
    <hyperlink r:id="rId57" ref="AI38"/>
    <hyperlink r:id="rId58" ref="AI39"/>
    <hyperlink r:id="rId59" ref="AI40"/>
    <hyperlink r:id="rId60" ref="AI41"/>
    <hyperlink r:id="rId61" ref="AI42"/>
    <hyperlink r:id="rId62" ref="AI43"/>
    <hyperlink r:id="rId63" ref="AI44"/>
    <hyperlink r:id="rId64" ref="AI45"/>
    <hyperlink r:id="rId65" ref="AI46"/>
    <hyperlink r:id="rId66" ref="AI47"/>
    <hyperlink r:id="rId67" ref="AJ47"/>
    <hyperlink r:id="rId68" ref="AI48"/>
    <hyperlink r:id="rId69" ref="AJ48"/>
    <hyperlink r:id="rId70" ref="AI49"/>
    <hyperlink r:id="rId71" ref="AJ49"/>
    <hyperlink r:id="rId72" ref="AI50"/>
    <hyperlink r:id="rId73" ref="AJ50"/>
    <hyperlink r:id="rId74" ref="AI51"/>
    <hyperlink r:id="rId75" ref="AJ51"/>
    <hyperlink r:id="rId76" ref="AI52"/>
    <hyperlink r:id="rId77" ref="AJ52"/>
    <hyperlink r:id="rId78" ref="AI53"/>
    <hyperlink r:id="rId79" ref="AJ53"/>
    <hyperlink r:id="rId80" ref="AI54"/>
    <hyperlink r:id="rId81" ref="AJ54"/>
    <hyperlink r:id="rId82" ref="AI55"/>
    <hyperlink r:id="rId83" ref="AJ55"/>
    <hyperlink r:id="rId84" ref="AI56"/>
    <hyperlink r:id="rId85" ref="AJ56"/>
    <hyperlink r:id="rId86" ref="AI57"/>
    <hyperlink r:id="rId87" location=":~:text=Nam%20Lik%20Power%201%20Co,STAKEHOLDER" ref="AJ57"/>
    <hyperlink r:id="rId88" ref="AI58"/>
    <hyperlink r:id="rId89" ref="AI59"/>
    <hyperlink r:id="rId90" ref="AI60"/>
    <hyperlink r:id="rId91" ref="AI61"/>
    <hyperlink r:id="rId92" ref="AI62"/>
    <hyperlink r:id="rId93" ref="AI63"/>
    <hyperlink r:id="rId94" ref="AJ63"/>
    <hyperlink r:id="rId95" ref="AI64"/>
    <hyperlink r:id="rId96" ref="AJ64"/>
    <hyperlink r:id="rId97" ref="AI65"/>
    <hyperlink r:id="rId98" ref="AJ65"/>
    <hyperlink r:id="rId99" ref="AI66"/>
    <hyperlink r:id="rId100" ref="AJ66"/>
    <hyperlink r:id="rId101" ref="AI67"/>
    <hyperlink r:id="rId102" ref="AJ67"/>
    <hyperlink r:id="rId103" ref="AI68"/>
    <hyperlink r:id="rId104" ref="AJ68"/>
    <hyperlink r:id="rId105" ref="AI69"/>
    <hyperlink r:id="rId106" ref="AJ69"/>
    <hyperlink r:id="rId107" ref="AI70"/>
    <hyperlink r:id="rId108" ref="AJ70"/>
    <hyperlink r:id="rId109" ref="AI71"/>
    <hyperlink r:id="rId110" ref="AJ71"/>
    <hyperlink r:id="rId111" ref="AI72"/>
    <hyperlink r:id="rId112" ref="AI73"/>
    <hyperlink r:id="rId113" ref="AI74"/>
    <hyperlink r:id="rId114" ref="AI75"/>
    <hyperlink r:id="rId115" ref="AJ75"/>
    <hyperlink r:id="rId116" ref="AI76"/>
    <hyperlink r:id="rId117" ref="AJ76"/>
    <hyperlink r:id="rId118" ref="AI77"/>
    <hyperlink r:id="rId119" ref="AI78"/>
    <hyperlink r:id="rId120" ref="AJ78"/>
    <hyperlink r:id="rId121" ref="AI79"/>
    <hyperlink r:id="rId122" ref="AI80"/>
    <hyperlink r:id="rId123" ref="AJ80"/>
    <hyperlink r:id="rId124" ref="AI82"/>
    <hyperlink r:id="rId125" ref="AI83"/>
    <hyperlink r:id="rId126" ref="AI85"/>
    <hyperlink r:id="rId127" ref="AI88"/>
    <hyperlink r:id="rId128" ref="AI89"/>
    <hyperlink r:id="rId129" ref="AI90"/>
    <hyperlink r:id="rId130" ref="AI91"/>
  </hyperlinks>
  <printOptions/>
  <pageMargins bottom="0.75" footer="0.0" header="0.0" left="0.7" right="0.7" top="0.75"/>
  <pageSetup orientation="portrait"/>
  <drawing r:id="rId131"/>
  <tableParts count="1">
    <tablePart r:id="rId1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26.29"/>
    <col customWidth="1" min="2" max="2" width="24.71"/>
    <col customWidth="1" min="3" max="3" width="10.57"/>
    <col customWidth="1" min="4" max="4" width="25.43"/>
    <col customWidth="1" min="5" max="5" width="24.0"/>
    <col customWidth="1" min="6" max="7" width="11.71"/>
    <col customWidth="1" min="8" max="8" width="31.71"/>
    <col customWidth="1" min="9" max="26" width="8.71"/>
  </cols>
  <sheetData>
    <row r="1" ht="14.25" customHeight="1">
      <c r="A1" s="113" t="s">
        <v>0</v>
      </c>
      <c r="B1" s="113" t="s">
        <v>448</v>
      </c>
      <c r="C1" s="113" t="s">
        <v>449</v>
      </c>
      <c r="D1" s="113" t="s">
        <v>450</v>
      </c>
      <c r="E1" s="113" t="s">
        <v>451</v>
      </c>
      <c r="F1" s="113" t="s">
        <v>452</v>
      </c>
      <c r="G1" s="113" t="s">
        <v>453</v>
      </c>
      <c r="H1" s="113" t="s">
        <v>454</v>
      </c>
    </row>
    <row r="2" ht="14.25" customHeight="1">
      <c r="A2" s="112" t="s">
        <v>455</v>
      </c>
      <c r="B2" s="112" t="s">
        <v>98</v>
      </c>
      <c r="D2" s="112" t="s">
        <v>456</v>
      </c>
      <c r="E2" s="112" t="s">
        <v>98</v>
      </c>
      <c r="F2" s="112">
        <v>105.955975</v>
      </c>
      <c r="G2" s="112">
        <v>13.9437805555555</v>
      </c>
      <c r="H2" s="112" t="str">
        <f t="shared" ref="H2:H77" si="1">"POINT Z (" &amp; F2 &amp; " " &amp; G2 &amp; ")"</f>
        <v>POINT Z (105.955975 13.9437805555555)</v>
      </c>
    </row>
    <row r="3" ht="14.25" customHeight="1">
      <c r="A3" s="112" t="s">
        <v>457</v>
      </c>
      <c r="D3" s="112"/>
      <c r="E3" s="112" t="s">
        <v>458</v>
      </c>
      <c r="F3" s="112">
        <v>101.279719444444</v>
      </c>
      <c r="G3" s="112">
        <v>19.6907027777777</v>
      </c>
      <c r="H3" s="112" t="str">
        <f t="shared" si="1"/>
        <v>POINT Z (101.279719444444 19.6907027777777)</v>
      </c>
    </row>
    <row r="4" ht="14.25" customHeight="1">
      <c r="A4" s="112" t="s">
        <v>459</v>
      </c>
      <c r="D4" s="112" t="s">
        <v>460</v>
      </c>
      <c r="E4" s="112" t="s">
        <v>72</v>
      </c>
      <c r="F4" s="112">
        <v>106.586427777777</v>
      </c>
      <c r="G4" s="112">
        <v>15.3564555555555</v>
      </c>
      <c r="H4" s="112" t="str">
        <f t="shared" si="1"/>
        <v>POINT Z (106.586427777777 15.3564555555555)</v>
      </c>
    </row>
    <row r="5" ht="14.25" customHeight="1">
      <c r="A5" s="112" t="s">
        <v>461</v>
      </c>
      <c r="D5" s="112" t="s">
        <v>462</v>
      </c>
      <c r="E5" s="112" t="s">
        <v>78</v>
      </c>
      <c r="F5" s="112">
        <v>106.630675</v>
      </c>
      <c r="G5" s="112">
        <v>15.3196611111111</v>
      </c>
      <c r="H5" s="112" t="str">
        <f t="shared" si="1"/>
        <v>POINT Z (106.630675 15.3196611111111)</v>
      </c>
    </row>
    <row r="6" ht="14.25" customHeight="1">
      <c r="A6" s="112" t="s">
        <v>118</v>
      </c>
      <c r="D6" s="112" t="s">
        <v>463</v>
      </c>
      <c r="E6" s="112" t="s">
        <v>118</v>
      </c>
      <c r="F6" s="112">
        <v>106.222955555555</v>
      </c>
      <c r="G6" s="112">
        <v>15.5757777777777</v>
      </c>
      <c r="H6" s="112" t="str">
        <f t="shared" si="1"/>
        <v>POINT Z (106.222955555555 15.5757777777777)</v>
      </c>
    </row>
    <row r="7" ht="14.25" customHeight="1">
      <c r="A7" s="112" t="s">
        <v>464</v>
      </c>
      <c r="D7" s="112" t="s">
        <v>465</v>
      </c>
      <c r="E7" s="112" t="s">
        <v>94</v>
      </c>
      <c r="F7" s="112">
        <v>106.829275</v>
      </c>
      <c r="G7" s="112">
        <v>15.0786777777777</v>
      </c>
      <c r="H7" s="112" t="str">
        <f t="shared" si="1"/>
        <v>POINT Z (106.829275 15.0786777777777)</v>
      </c>
    </row>
    <row r="8" ht="14.25" customHeight="1">
      <c r="A8" s="112" t="s">
        <v>466</v>
      </c>
      <c r="D8" s="112"/>
      <c r="E8" s="112" t="s">
        <v>467</v>
      </c>
      <c r="F8" s="112">
        <v>104.901044444444</v>
      </c>
      <c r="G8" s="112">
        <v>16.8724638888888</v>
      </c>
      <c r="H8" s="112" t="str">
        <f t="shared" si="1"/>
        <v>POINT Z (104.901044444444 16.8724638888888)</v>
      </c>
    </row>
    <row r="9" ht="14.25" customHeight="1">
      <c r="A9" s="112" t="s">
        <v>266</v>
      </c>
      <c r="D9" s="112" t="s">
        <v>468</v>
      </c>
      <c r="E9" s="112" t="s">
        <v>266</v>
      </c>
      <c r="F9" s="112">
        <v>103.289452777777</v>
      </c>
      <c r="G9" s="112">
        <v>19.137175</v>
      </c>
      <c r="H9" s="112" t="str">
        <f t="shared" si="1"/>
        <v>POINT Z (103.289452777777 19.137175)</v>
      </c>
    </row>
    <row r="10" ht="14.25" customHeight="1">
      <c r="A10" s="112" t="s">
        <v>408</v>
      </c>
      <c r="D10" s="112" t="s">
        <v>469</v>
      </c>
      <c r="E10" s="112" t="s">
        <v>408</v>
      </c>
      <c r="F10" s="112">
        <v>101.240583333333</v>
      </c>
      <c r="G10" s="112">
        <v>19.9458055555555</v>
      </c>
      <c r="H10" s="112" t="str">
        <f t="shared" si="1"/>
        <v>POINT Z (101.240583333333 19.9458055555555)</v>
      </c>
    </row>
    <row r="11" ht="14.25" customHeight="1">
      <c r="A11" s="112" t="s">
        <v>470</v>
      </c>
      <c r="D11" s="112" t="s">
        <v>471</v>
      </c>
      <c r="E11" s="112" t="s">
        <v>258</v>
      </c>
      <c r="F11" s="112">
        <v>103.5049</v>
      </c>
      <c r="G11" s="112">
        <v>19.048075</v>
      </c>
      <c r="H11" s="112" t="str">
        <f t="shared" si="1"/>
        <v>POINT Z (103.5049 19.048075)</v>
      </c>
    </row>
    <row r="12" ht="14.25" customHeight="1">
      <c r="A12" s="112" t="s">
        <v>249</v>
      </c>
      <c r="D12" s="112" t="s">
        <v>472</v>
      </c>
      <c r="E12" s="112" t="s">
        <v>249</v>
      </c>
      <c r="F12" s="112">
        <v>103.521394444444</v>
      </c>
      <c r="G12" s="112">
        <v>19.065825</v>
      </c>
      <c r="H12" s="112" t="str">
        <f t="shared" si="1"/>
        <v>POINT Z (103.521394444444 19.065825)</v>
      </c>
    </row>
    <row r="13" ht="14.25" customHeight="1">
      <c r="A13" s="112" t="s">
        <v>389</v>
      </c>
      <c r="D13" s="112" t="s">
        <v>473</v>
      </c>
      <c r="E13" s="112" t="s">
        <v>389</v>
      </c>
      <c r="F13" s="112">
        <v>102.367891666666</v>
      </c>
      <c r="G13" s="112">
        <v>19.684125</v>
      </c>
      <c r="H13" s="112" t="str">
        <f t="shared" si="1"/>
        <v>POINT Z (102.367891666666 19.684125)</v>
      </c>
    </row>
    <row r="14" ht="14.25" customHeight="1">
      <c r="A14" s="112" t="s">
        <v>386</v>
      </c>
      <c r="D14" s="112" t="s">
        <v>474</v>
      </c>
      <c r="E14" s="112" t="s">
        <v>386</v>
      </c>
      <c r="F14" s="112">
        <v>102.221613888888</v>
      </c>
      <c r="G14" s="112">
        <v>19.7483805555555</v>
      </c>
      <c r="H14" s="112" t="str">
        <f t="shared" si="1"/>
        <v>POINT Z (102.221613888888 19.7483805555555)</v>
      </c>
    </row>
    <row r="15" ht="14.25" customHeight="1">
      <c r="A15" s="112" t="s">
        <v>475</v>
      </c>
      <c r="D15" s="112" t="s">
        <v>476</v>
      </c>
      <c r="E15" s="112" t="s">
        <v>51</v>
      </c>
      <c r="F15" s="112">
        <v>106.736030555555</v>
      </c>
      <c r="G15" s="112">
        <v>14.5742777777777</v>
      </c>
      <c r="H15" s="112" t="str">
        <f t="shared" si="1"/>
        <v>POINT Z (106.736030555555 14.5742777777777)</v>
      </c>
    </row>
    <row r="16" ht="14.25" customHeight="1">
      <c r="A16" s="112" t="s">
        <v>477</v>
      </c>
      <c r="D16" s="112" t="s">
        <v>478</v>
      </c>
      <c r="E16" s="112" t="s">
        <v>56</v>
      </c>
      <c r="F16" s="112">
        <v>106.821255555555</v>
      </c>
      <c r="G16" s="112">
        <v>14.4977583333333</v>
      </c>
      <c r="H16" s="112" t="str">
        <f t="shared" si="1"/>
        <v>POINT Z (106.821255555555 14.4977583333333)</v>
      </c>
    </row>
    <row r="17" ht="14.25" customHeight="1">
      <c r="A17" s="112" t="s">
        <v>479</v>
      </c>
      <c r="D17" s="112" t="s">
        <v>480</v>
      </c>
      <c r="E17" s="112" t="s">
        <v>59</v>
      </c>
      <c r="F17" s="112">
        <v>106.911893756675</v>
      </c>
      <c r="G17" s="112">
        <v>14.56702609102</v>
      </c>
      <c r="H17" s="112" t="str">
        <f t="shared" si="1"/>
        <v>POINT Z (106.911893756675 14.56702609102)</v>
      </c>
    </row>
    <row r="18" ht="14.25" customHeight="1">
      <c r="A18" s="112" t="s">
        <v>382</v>
      </c>
      <c r="D18" s="112" t="s">
        <v>481</v>
      </c>
      <c r="E18" s="112" t="s">
        <v>382</v>
      </c>
      <c r="F18" s="112">
        <v>102.938761111111</v>
      </c>
      <c r="G18" s="112">
        <v>18.5351638888888</v>
      </c>
      <c r="H18" s="112" t="str">
        <f t="shared" si="1"/>
        <v>POINT Z (102.938761111111 18.5351638888888)</v>
      </c>
    </row>
    <row r="19" ht="14.25" customHeight="1">
      <c r="A19" s="112" t="s">
        <v>327</v>
      </c>
      <c r="D19" s="112" t="s">
        <v>482</v>
      </c>
      <c r="E19" s="112" t="s">
        <v>327</v>
      </c>
      <c r="F19" s="112">
        <v>102.387091666666</v>
      </c>
      <c r="G19" s="112">
        <v>18.6187666666666</v>
      </c>
      <c r="H19" s="112" t="str">
        <f t="shared" si="1"/>
        <v>POINT Z (102.387091666666 18.6187666666666)</v>
      </c>
    </row>
    <row r="20" ht="14.25" customHeight="1">
      <c r="A20" s="112" t="s">
        <v>483</v>
      </c>
      <c r="D20" s="112" t="s">
        <v>484</v>
      </c>
      <c r="E20" s="112" t="s">
        <v>333</v>
      </c>
      <c r="F20" s="112">
        <v>102.117216666666</v>
      </c>
      <c r="G20" s="112">
        <v>18.7934305555555</v>
      </c>
      <c r="H20" s="112" t="str">
        <f t="shared" si="1"/>
        <v>POINT Z (102.117216666666 18.7934305555555)</v>
      </c>
    </row>
    <row r="21" ht="14.25" customHeight="1">
      <c r="A21" s="112" t="s">
        <v>485</v>
      </c>
      <c r="D21" s="112" t="s">
        <v>486</v>
      </c>
      <c r="E21" s="112" t="s">
        <v>485</v>
      </c>
      <c r="F21" s="112">
        <v>100.897608333333</v>
      </c>
      <c r="G21" s="112">
        <v>20.9255</v>
      </c>
      <c r="H21" s="112" t="str">
        <f t="shared" si="1"/>
        <v>POINT Z (100.897608333333 20.9255)</v>
      </c>
    </row>
    <row r="22" ht="14.25" customHeight="1">
      <c r="A22" s="112" t="s">
        <v>278</v>
      </c>
      <c r="D22" s="112" t="s">
        <v>487</v>
      </c>
      <c r="E22" s="112" t="s">
        <v>278</v>
      </c>
      <c r="F22" s="112">
        <v>103.173208333333</v>
      </c>
      <c r="G22" s="112">
        <v>18.4432305555555</v>
      </c>
      <c r="H22" s="112" t="str">
        <f t="shared" si="1"/>
        <v>POINT Z (103.173208333333 18.4432305555555)</v>
      </c>
    </row>
    <row r="23" ht="14.25" customHeight="1">
      <c r="A23" s="112" t="s">
        <v>285</v>
      </c>
      <c r="D23" s="112"/>
      <c r="E23" s="112" t="s">
        <v>285</v>
      </c>
      <c r="F23" s="112">
        <v>102.735830555555</v>
      </c>
      <c r="G23" s="112">
        <v>18.331575</v>
      </c>
      <c r="H23" s="112" t="str">
        <f t="shared" si="1"/>
        <v>POINT Z (102.735830555555 18.331575)</v>
      </c>
    </row>
    <row r="24" ht="14.25" customHeight="1">
      <c r="A24" s="112" t="s">
        <v>366</v>
      </c>
      <c r="D24" s="112" t="s">
        <v>488</v>
      </c>
      <c r="E24" s="112" t="s">
        <v>366</v>
      </c>
      <c r="F24" s="112">
        <v>101.922672222222</v>
      </c>
      <c r="G24" s="112">
        <v>20.1818472222222</v>
      </c>
      <c r="H24" s="112" t="str">
        <f t="shared" si="1"/>
        <v>POINT Z (101.922672222222 20.1818472222222)</v>
      </c>
    </row>
    <row r="25" ht="14.25" customHeight="1">
      <c r="A25" s="112" t="s">
        <v>273</v>
      </c>
      <c r="D25" s="112" t="s">
        <v>489</v>
      </c>
      <c r="E25" s="112" t="s">
        <v>273</v>
      </c>
      <c r="F25" s="112">
        <v>103.524455555555</v>
      </c>
      <c r="G25" s="112">
        <v>18.6460444444444</v>
      </c>
      <c r="H25" s="112" t="str">
        <f t="shared" si="1"/>
        <v>POINT Z (103.524455555555 18.6460444444444)</v>
      </c>
    </row>
    <row r="26" ht="14.25" customHeight="1">
      <c r="A26" s="112" t="s">
        <v>222</v>
      </c>
      <c r="D26" s="112"/>
      <c r="E26" s="112" t="s">
        <v>222</v>
      </c>
      <c r="F26" s="112">
        <v>103.309844444444</v>
      </c>
      <c r="G26" s="112">
        <v>19.1376583333333</v>
      </c>
      <c r="H26" s="112" t="str">
        <f t="shared" si="1"/>
        <v>POINT Z (103.309844444444 19.1376583333333)</v>
      </c>
    </row>
    <row r="27" ht="14.25" customHeight="1">
      <c r="A27" s="112" t="s">
        <v>242</v>
      </c>
      <c r="D27" s="112" t="s">
        <v>490</v>
      </c>
      <c r="E27" s="112" t="s">
        <v>242</v>
      </c>
      <c r="F27" s="112">
        <v>103.34485</v>
      </c>
      <c r="G27" s="112">
        <v>19.1534833333333</v>
      </c>
      <c r="H27" s="112" t="str">
        <f t="shared" si="1"/>
        <v>POINT Z (103.34485 19.1534833333333)</v>
      </c>
    </row>
    <row r="28" ht="14.25" customHeight="1">
      <c r="A28" s="112" t="s">
        <v>235</v>
      </c>
      <c r="D28" s="112" t="s">
        <v>491</v>
      </c>
      <c r="E28" s="112" t="s">
        <v>492</v>
      </c>
      <c r="F28" s="112">
        <v>103.348225</v>
      </c>
      <c r="G28" s="112">
        <v>19.1577722222222</v>
      </c>
      <c r="H28" s="112" t="str">
        <f t="shared" si="1"/>
        <v>POINT Z (103.348225 19.1577722222222)</v>
      </c>
    </row>
    <row r="29" ht="14.25" customHeight="1">
      <c r="A29" s="112" t="s">
        <v>230</v>
      </c>
      <c r="D29" s="112" t="s">
        <v>493</v>
      </c>
      <c r="E29" s="112" t="s">
        <v>230</v>
      </c>
      <c r="F29" s="112">
        <v>103.355588888888</v>
      </c>
      <c r="G29" s="112">
        <v>19.1872888888888</v>
      </c>
      <c r="H29" s="112" t="str">
        <f t="shared" si="1"/>
        <v>POINT Z (103.355588888888 19.1872888888888)</v>
      </c>
    </row>
    <row r="30" ht="14.25" customHeight="1">
      <c r="A30" s="112" t="s">
        <v>214</v>
      </c>
      <c r="D30" s="112" t="s">
        <v>494</v>
      </c>
      <c r="E30" s="112" t="s">
        <v>214</v>
      </c>
      <c r="F30" s="112">
        <v>103.342019444444</v>
      </c>
      <c r="G30" s="112">
        <v>19.2892722222222</v>
      </c>
      <c r="H30" s="112" t="str">
        <f t="shared" si="1"/>
        <v>POINT Z (103.342019444444 19.2892722222222)</v>
      </c>
    </row>
    <row r="31" ht="14.25" customHeight="1">
      <c r="A31" s="112" t="s">
        <v>312</v>
      </c>
      <c r="D31" s="112" t="s">
        <v>495</v>
      </c>
      <c r="E31" s="112" t="s">
        <v>312</v>
      </c>
      <c r="F31" s="112">
        <v>102.547341666666</v>
      </c>
      <c r="G31" s="112">
        <v>18.5301305555555</v>
      </c>
      <c r="H31" s="112" t="str">
        <f t="shared" si="1"/>
        <v>POINT Z (102.547341666666 18.5301305555555)</v>
      </c>
    </row>
    <row r="32" ht="14.25" customHeight="1">
      <c r="A32" s="112" t="s">
        <v>309</v>
      </c>
      <c r="D32" s="112" t="s">
        <v>495</v>
      </c>
      <c r="E32" s="112" t="s">
        <v>309</v>
      </c>
      <c r="F32" s="112">
        <v>102.547341666666</v>
      </c>
      <c r="G32" s="112">
        <v>18.5301305555555</v>
      </c>
      <c r="H32" s="112" t="str">
        <f t="shared" si="1"/>
        <v>POINT Z (102.547341666666 18.5301305555555)</v>
      </c>
    </row>
    <row r="33" ht="14.25" customHeight="1">
      <c r="A33" s="112" t="s">
        <v>306</v>
      </c>
      <c r="D33" s="112" t="s">
        <v>496</v>
      </c>
      <c r="E33" s="112" t="s">
        <v>306</v>
      </c>
      <c r="F33" s="112">
        <v>102.775866666666</v>
      </c>
      <c r="G33" s="112">
        <v>18.7500888888888</v>
      </c>
      <c r="H33" s="112" t="str">
        <f t="shared" si="1"/>
        <v>POINT Z (102.775866666666 18.7500888888888)</v>
      </c>
    </row>
    <row r="34" ht="14.25" customHeight="1">
      <c r="A34" s="112" t="s">
        <v>303</v>
      </c>
      <c r="D34" s="112" t="s">
        <v>497</v>
      </c>
      <c r="E34" s="112" t="s">
        <v>303</v>
      </c>
      <c r="F34" s="112">
        <v>102.824183333333</v>
      </c>
      <c r="G34" s="112">
        <v>18.9963861111111</v>
      </c>
      <c r="H34" s="112" t="str">
        <f t="shared" si="1"/>
        <v>POINT Z (102.824183333333 18.9963861111111)</v>
      </c>
    </row>
    <row r="35" ht="14.25" customHeight="1">
      <c r="A35" s="112" t="s">
        <v>299</v>
      </c>
      <c r="D35" s="112" t="s">
        <v>498</v>
      </c>
      <c r="E35" s="112" t="s">
        <v>299</v>
      </c>
      <c r="F35" s="112">
        <v>102.848833333333</v>
      </c>
      <c r="G35" s="112">
        <v>19.4215166666666</v>
      </c>
      <c r="H35" s="112" t="str">
        <f t="shared" si="1"/>
        <v>POINT Z (102.848833333333 19.4215166666666)</v>
      </c>
    </row>
    <row r="36" ht="14.25" customHeight="1">
      <c r="A36" s="112" t="s">
        <v>295</v>
      </c>
      <c r="D36" s="112" t="s">
        <v>499</v>
      </c>
      <c r="E36" s="112" t="s">
        <v>500</v>
      </c>
      <c r="F36" s="112">
        <v>102.710083333333</v>
      </c>
      <c r="G36" s="112">
        <v>19.3602888888888</v>
      </c>
      <c r="H36" s="112" t="str">
        <f t="shared" si="1"/>
        <v>POINT Z (102.710083333333 19.3602888888888)</v>
      </c>
    </row>
    <row r="37" ht="14.25" customHeight="1">
      <c r="A37" s="112" t="s">
        <v>501</v>
      </c>
      <c r="D37" s="112" t="s">
        <v>502</v>
      </c>
      <c r="E37" s="112"/>
      <c r="F37" s="112">
        <v>100.376216666666</v>
      </c>
      <c r="G37" s="112">
        <v>20.431525</v>
      </c>
      <c r="H37" s="112" t="str">
        <f t="shared" si="1"/>
        <v>POINT Z (100.376216666666 20.431525)</v>
      </c>
    </row>
    <row r="38" ht="14.25" customHeight="1">
      <c r="A38" s="112" t="s">
        <v>364</v>
      </c>
      <c r="D38" s="112" t="s">
        <v>503</v>
      </c>
      <c r="E38" s="112" t="s">
        <v>364</v>
      </c>
      <c r="F38" s="112">
        <v>102.316238888888</v>
      </c>
      <c r="G38" s="112">
        <v>20.1489</v>
      </c>
      <c r="H38" s="112" t="str">
        <f t="shared" si="1"/>
        <v>POINT Z (102.316238888888 20.1489)</v>
      </c>
    </row>
    <row r="39" ht="14.25" customHeight="1">
      <c r="A39" s="112" t="s">
        <v>362</v>
      </c>
      <c r="D39" s="112" t="s">
        <v>504</v>
      </c>
      <c r="E39" s="112" t="s">
        <v>362</v>
      </c>
      <c r="F39" s="112">
        <v>102.449430555555</v>
      </c>
      <c r="G39" s="112">
        <v>20.3887166666666</v>
      </c>
      <c r="H39" s="112" t="str">
        <f t="shared" si="1"/>
        <v>POINT Z (102.449430555555 20.3887166666666)</v>
      </c>
    </row>
    <row r="40" ht="14.25" customHeight="1">
      <c r="A40" s="112" t="s">
        <v>359</v>
      </c>
      <c r="D40" s="112" t="s">
        <v>505</v>
      </c>
      <c r="E40" s="112" t="s">
        <v>359</v>
      </c>
      <c r="F40" s="112">
        <v>102.666163888888</v>
      </c>
      <c r="G40" s="112">
        <v>20.8201805555555</v>
      </c>
      <c r="H40" s="112" t="str">
        <f t="shared" si="1"/>
        <v>POINT Z (102.666163888888 20.8201805555555)</v>
      </c>
    </row>
    <row r="41" ht="14.25" customHeight="1">
      <c r="A41" s="112" t="s">
        <v>356</v>
      </c>
      <c r="D41" s="112" t="s">
        <v>506</v>
      </c>
      <c r="E41" s="112" t="s">
        <v>356</v>
      </c>
      <c r="F41" s="112">
        <v>102.499152777777</v>
      </c>
      <c r="G41" s="112">
        <v>21.1055722222222</v>
      </c>
      <c r="H41" s="112" t="str">
        <f t="shared" si="1"/>
        <v>POINT Z (102.499152777777 21.1055722222222)</v>
      </c>
    </row>
    <row r="42" ht="14.25" customHeight="1">
      <c r="A42" s="112" t="s">
        <v>354</v>
      </c>
      <c r="D42" s="112" t="s">
        <v>507</v>
      </c>
      <c r="E42" s="112" t="s">
        <v>354</v>
      </c>
      <c r="F42" s="112">
        <v>102.345230555555</v>
      </c>
      <c r="G42" s="112">
        <v>21.4106083333333</v>
      </c>
      <c r="H42" s="112" t="str">
        <f t="shared" si="1"/>
        <v>POINT Z (102.345230555555 21.4106083333333)</v>
      </c>
    </row>
    <row r="43" ht="14.25" customHeight="1">
      <c r="A43" s="112" t="s">
        <v>352</v>
      </c>
      <c r="D43" s="112" t="s">
        <v>508</v>
      </c>
      <c r="E43" s="112" t="s">
        <v>352</v>
      </c>
      <c r="F43" s="112">
        <v>102.196130555555</v>
      </c>
      <c r="G43" s="112">
        <v>21.770225</v>
      </c>
      <c r="H43" s="112" t="str">
        <f t="shared" si="1"/>
        <v>POINT Z (102.196130555555 21.770225)</v>
      </c>
    </row>
    <row r="44" ht="14.25" customHeight="1">
      <c r="A44" s="112" t="s">
        <v>349</v>
      </c>
      <c r="D44" s="112" t="s">
        <v>509</v>
      </c>
      <c r="E44" s="112" t="s">
        <v>349</v>
      </c>
      <c r="F44" s="112">
        <v>102.263777777777</v>
      </c>
      <c r="G44" s="112">
        <v>22.0789694444444</v>
      </c>
      <c r="H44" s="112" t="str">
        <f t="shared" si="1"/>
        <v>POINT Z (102.263777777777 22.0789694444444)</v>
      </c>
    </row>
    <row r="45" ht="14.25" customHeight="1">
      <c r="A45" s="112" t="s">
        <v>45</v>
      </c>
      <c r="D45" s="112" t="s">
        <v>510</v>
      </c>
      <c r="E45" s="112" t="s">
        <v>45</v>
      </c>
      <c r="F45" s="112">
        <v>103.893086111111</v>
      </c>
      <c r="G45" s="112">
        <v>19.9795666666666</v>
      </c>
      <c r="H45" s="112" t="str">
        <f t="shared" si="1"/>
        <v>POINT Z (103.893086111111 19.9795666666666)</v>
      </c>
    </row>
    <row r="46" ht="14.25" customHeight="1">
      <c r="A46" s="112" t="s">
        <v>37</v>
      </c>
      <c r="D46" s="112" t="s">
        <v>511</v>
      </c>
      <c r="E46" s="112" t="s">
        <v>37</v>
      </c>
      <c r="F46" s="112">
        <v>103.983283333333</v>
      </c>
      <c r="G46" s="112">
        <v>20.0376638888888</v>
      </c>
      <c r="H46" s="112" t="str">
        <f t="shared" si="1"/>
        <v>POINT Z (103.983283333333 20.0376638888888)</v>
      </c>
    </row>
    <row r="47" ht="14.25" customHeight="1">
      <c r="A47" s="112" t="s">
        <v>512</v>
      </c>
      <c r="D47" s="112" t="s">
        <v>513</v>
      </c>
      <c r="E47" s="112" t="s">
        <v>313</v>
      </c>
      <c r="F47" s="112">
        <v>102.83368366661</v>
      </c>
      <c r="G47" s="112">
        <v>18.9937699470988</v>
      </c>
      <c r="H47" s="112" t="str">
        <f t="shared" si="1"/>
        <v>POINT Z (102.83368366661 18.9937699470988)</v>
      </c>
    </row>
    <row r="48" ht="14.25" customHeight="1">
      <c r="A48" s="112" t="s">
        <v>164</v>
      </c>
      <c r="D48" s="112"/>
      <c r="E48" s="112"/>
      <c r="F48" s="112">
        <v>105.134869444444</v>
      </c>
      <c r="G48" s="112">
        <v>18.3624666666666</v>
      </c>
      <c r="H48" s="112" t="str">
        <f t="shared" si="1"/>
        <v>POINT Z (105.134869444444 18.3624666666666)</v>
      </c>
    </row>
    <row r="49" ht="14.25" customHeight="1">
      <c r="A49" s="112" t="s">
        <v>514</v>
      </c>
      <c r="D49" s="112" t="s">
        <v>515</v>
      </c>
      <c r="E49" s="112" t="s">
        <v>322</v>
      </c>
      <c r="F49" s="112">
        <v>102.744025</v>
      </c>
      <c r="G49" s="112">
        <v>19.0334277777777</v>
      </c>
      <c r="H49" s="112" t="str">
        <f t="shared" si="1"/>
        <v>POINT Z (102.744025 19.0334277777777)</v>
      </c>
    </row>
    <row r="50" ht="14.25" customHeight="1">
      <c r="A50" s="112" t="s">
        <v>191</v>
      </c>
      <c r="D50" s="112" t="s">
        <v>516</v>
      </c>
      <c r="E50" s="112" t="s">
        <v>191</v>
      </c>
      <c r="F50" s="112">
        <v>103.627986111111</v>
      </c>
      <c r="G50" s="112">
        <v>19.0877972222222</v>
      </c>
      <c r="H50" s="112" t="str">
        <f t="shared" si="1"/>
        <v>POINT Z (103.627986111111 19.0877972222222)</v>
      </c>
    </row>
    <row r="51" ht="14.25" customHeight="1">
      <c r="A51" s="112" t="s">
        <v>200</v>
      </c>
      <c r="D51" s="112" t="s">
        <v>517</v>
      </c>
      <c r="E51" s="112" t="s">
        <v>200</v>
      </c>
      <c r="F51" s="112">
        <v>103.599494444444</v>
      </c>
      <c r="G51" s="112">
        <v>19.0164083333333</v>
      </c>
      <c r="H51" s="112" t="str">
        <f t="shared" si="1"/>
        <v>POINT Z (103.599494444444 19.0164083333333)</v>
      </c>
    </row>
    <row r="52" ht="14.25" customHeight="1">
      <c r="A52" s="112" t="s">
        <v>425</v>
      </c>
      <c r="D52" s="112" t="s">
        <v>518</v>
      </c>
      <c r="E52" s="112" t="s">
        <v>425</v>
      </c>
      <c r="F52" s="112">
        <v>102.310863888888</v>
      </c>
      <c r="G52" s="112">
        <v>19.2044666666666</v>
      </c>
      <c r="H52" s="112" t="str">
        <f t="shared" si="1"/>
        <v>POINT Z (102.310863888888 19.2044666666666)</v>
      </c>
    </row>
    <row r="53" ht="14.25" customHeight="1">
      <c r="A53" s="112" t="s">
        <v>519</v>
      </c>
      <c r="D53" s="112" t="s">
        <v>520</v>
      </c>
      <c r="E53" s="112" t="s">
        <v>207</v>
      </c>
      <c r="F53" s="112">
        <v>103.188405555555</v>
      </c>
      <c r="G53" s="112">
        <v>19.2817194444444</v>
      </c>
      <c r="H53" s="112" t="str">
        <f t="shared" si="1"/>
        <v>POINT Z (103.188405555555 19.2817194444444)</v>
      </c>
    </row>
    <row r="54" ht="14.25" customHeight="1">
      <c r="A54" s="112" t="s">
        <v>317</v>
      </c>
      <c r="D54" s="112" t="s">
        <v>521</v>
      </c>
      <c r="E54" s="112" t="s">
        <v>317</v>
      </c>
      <c r="F54" s="112">
        <v>102.457552777777</v>
      </c>
      <c r="G54" s="112">
        <v>18.8037388888888</v>
      </c>
      <c r="H54" s="112" t="str">
        <f t="shared" si="1"/>
        <v>POINT Z (102.457552777777 18.8037388888888)</v>
      </c>
    </row>
    <row r="55" ht="14.25" customHeight="1">
      <c r="A55" s="112" t="s">
        <v>340</v>
      </c>
      <c r="D55" s="112" t="s">
        <v>522</v>
      </c>
      <c r="E55" s="112" t="s">
        <v>340</v>
      </c>
      <c r="F55" s="112">
        <v>100.899319444444</v>
      </c>
      <c r="G55" s="112">
        <v>20.2472222222222</v>
      </c>
      <c r="H55" s="112" t="str">
        <f t="shared" si="1"/>
        <v>POINT Z (100.899319444444 20.2472222222222)</v>
      </c>
    </row>
    <row r="56" ht="14.25" customHeight="1">
      <c r="A56" s="112" t="s">
        <v>336</v>
      </c>
      <c r="D56" s="112" t="s">
        <v>523</v>
      </c>
      <c r="E56" s="112" t="s">
        <v>336</v>
      </c>
      <c r="F56" s="112">
        <v>100.869941666666</v>
      </c>
      <c r="G56" s="112">
        <v>20.26675</v>
      </c>
      <c r="H56" s="112" t="str">
        <f t="shared" si="1"/>
        <v>POINT Z (100.869941666666 20.26675)</v>
      </c>
    </row>
    <row r="57" ht="14.25" customHeight="1">
      <c r="A57" s="112" t="s">
        <v>48</v>
      </c>
      <c r="D57" s="112" t="s">
        <v>524</v>
      </c>
      <c r="E57" s="112" t="s">
        <v>48</v>
      </c>
      <c r="F57" s="112">
        <v>103.5769</v>
      </c>
      <c r="G57" s="112">
        <v>19.5955472222222</v>
      </c>
      <c r="H57" s="112" t="str">
        <f t="shared" si="1"/>
        <v>POINT Z (103.5769 19.5955472222222)</v>
      </c>
    </row>
    <row r="58" ht="14.25" customHeight="1">
      <c r="A58" s="112" t="s">
        <v>170</v>
      </c>
      <c r="D58" s="112" t="s">
        <v>525</v>
      </c>
      <c r="E58" s="112" t="s">
        <v>170</v>
      </c>
      <c r="F58" s="112">
        <v>104.147616666666</v>
      </c>
      <c r="G58" s="112">
        <v>18.3513222222222</v>
      </c>
      <c r="H58" s="112" t="str">
        <f t="shared" si="1"/>
        <v>POINT Z (104.147616666666 18.3513222222222)</v>
      </c>
    </row>
    <row r="59" ht="14.25" customHeight="1">
      <c r="A59" s="112" t="s">
        <v>138</v>
      </c>
      <c r="D59" s="112" t="s">
        <v>526</v>
      </c>
      <c r="E59" s="112" t="s">
        <v>138</v>
      </c>
      <c r="F59" s="112">
        <v>105.152947222222</v>
      </c>
      <c r="G59" s="112">
        <v>17.6807638888888</v>
      </c>
      <c r="H59" s="112" t="str">
        <f t="shared" si="1"/>
        <v>POINT Z (105.152947222222 17.6807638888888)</v>
      </c>
    </row>
    <row r="60" ht="14.25" customHeight="1">
      <c r="A60" s="112" t="s">
        <v>527</v>
      </c>
      <c r="D60" s="112" t="s">
        <v>528</v>
      </c>
      <c r="E60" s="112" t="s">
        <v>187</v>
      </c>
      <c r="F60" s="112">
        <v>104.571327777777</v>
      </c>
      <c r="G60" s="112">
        <v>17.7282361111111</v>
      </c>
      <c r="H60" s="112" t="str">
        <f t="shared" si="1"/>
        <v>POINT Z (104.571327777777 17.7282361111111)</v>
      </c>
    </row>
    <row r="61" ht="14.25" customHeight="1">
      <c r="A61" s="112" t="s">
        <v>529</v>
      </c>
      <c r="D61" s="112" t="s">
        <v>530</v>
      </c>
      <c r="E61" s="112" t="s">
        <v>181</v>
      </c>
      <c r="F61" s="112">
        <v>104.424202777777</v>
      </c>
      <c r="G61" s="112">
        <v>18.024875</v>
      </c>
      <c r="H61" s="112" t="str">
        <f t="shared" si="1"/>
        <v>POINT Z (104.424202777777 18.024875)</v>
      </c>
    </row>
    <row r="62" ht="14.25" customHeight="1">
      <c r="A62" s="112" t="s">
        <v>531</v>
      </c>
      <c r="D62" s="112" t="s">
        <v>532</v>
      </c>
      <c r="E62" s="112" t="s">
        <v>394</v>
      </c>
      <c r="F62" s="112">
        <v>101.819494444444</v>
      </c>
      <c r="G62" s="112">
        <v>19.2450611111111</v>
      </c>
      <c r="H62" s="112" t="str">
        <f t="shared" si="1"/>
        <v>POINT Z (101.819494444444 19.2450611111111)</v>
      </c>
    </row>
    <row r="63" ht="14.25" customHeight="1">
      <c r="A63" s="112" t="s">
        <v>124</v>
      </c>
      <c r="D63" s="112" t="s">
        <v>533</v>
      </c>
      <c r="E63" s="112" t="s">
        <v>124</v>
      </c>
      <c r="F63" s="112">
        <v>105.832919444444</v>
      </c>
      <c r="G63" s="112">
        <v>15.3542611111111</v>
      </c>
      <c r="H63" s="112" t="str">
        <f t="shared" si="1"/>
        <v>POINT Z (105.832919444444 15.3542611111111)</v>
      </c>
    </row>
    <row r="64" ht="14.25" customHeight="1">
      <c r="A64" s="112" t="s">
        <v>102</v>
      </c>
      <c r="D64" s="112" t="s">
        <v>534</v>
      </c>
      <c r="E64" s="112" t="s">
        <v>102</v>
      </c>
      <c r="F64" s="112">
        <v>106.075661111111</v>
      </c>
      <c r="G64" s="112">
        <v>15.2026277777777</v>
      </c>
      <c r="H64" s="112" t="str">
        <f t="shared" si="1"/>
        <v>POINT Z (106.075661111111 15.2026277777777)</v>
      </c>
    </row>
    <row r="65" ht="14.25" customHeight="1">
      <c r="A65" s="112" t="s">
        <v>535</v>
      </c>
      <c r="D65" s="112"/>
      <c r="E65" s="112" t="s">
        <v>432</v>
      </c>
      <c r="F65" s="112">
        <v>106.485425</v>
      </c>
      <c r="G65" s="112">
        <v>16.7393194444444</v>
      </c>
      <c r="H65" s="112" t="str">
        <f t="shared" si="1"/>
        <v>POINT Z (106.485425 16.7393194444444)</v>
      </c>
    </row>
    <row r="66" ht="14.25" customHeight="1">
      <c r="A66" s="112" t="s">
        <v>176</v>
      </c>
      <c r="D66" s="112" t="s">
        <v>536</v>
      </c>
      <c r="E66" s="112" t="s">
        <v>176</v>
      </c>
      <c r="F66" s="112">
        <v>104.538694444444</v>
      </c>
      <c r="G66" s="112">
        <v>18.2099666666666</v>
      </c>
      <c r="H66" s="112" t="str">
        <f t="shared" si="1"/>
        <v>POINT Z (104.538694444444 18.2099666666666)</v>
      </c>
    </row>
    <row r="67" ht="14.25" customHeight="1">
      <c r="A67" s="112" t="s">
        <v>537</v>
      </c>
      <c r="D67" s="112" t="s">
        <v>538</v>
      </c>
      <c r="E67" s="112" t="s">
        <v>539</v>
      </c>
      <c r="F67" s="112">
        <v>106.718422222222</v>
      </c>
      <c r="G67" s="112">
        <v>15.1528861111111</v>
      </c>
      <c r="H67" s="112" t="str">
        <f t="shared" si="1"/>
        <v>POINT Z (106.718422222222 15.1528861111111)</v>
      </c>
    </row>
    <row r="68" ht="14.25" customHeight="1">
      <c r="A68" s="112" t="s">
        <v>66</v>
      </c>
      <c r="D68" s="112" t="s">
        <v>540</v>
      </c>
      <c r="E68" s="112" t="s">
        <v>66</v>
      </c>
      <c r="F68" s="112">
        <v>107.151483926958</v>
      </c>
      <c r="G68" s="112">
        <v>14.9593939123345</v>
      </c>
      <c r="H68" s="112" t="str">
        <f t="shared" si="1"/>
        <v>POINT Z (107.151483926958 14.9593939123345)</v>
      </c>
    </row>
    <row r="69" ht="14.25" customHeight="1">
      <c r="A69" s="112" t="s">
        <v>62</v>
      </c>
      <c r="D69" s="112" t="s">
        <v>541</v>
      </c>
      <c r="E69" s="112" t="s">
        <v>62</v>
      </c>
      <c r="F69" s="112">
        <v>107.406261111111</v>
      </c>
      <c r="G69" s="112">
        <v>15.3742694444444</v>
      </c>
      <c r="H69" s="112" t="str">
        <f t="shared" si="1"/>
        <v>POINT Z (107.406261111111 15.3742694444444)</v>
      </c>
    </row>
    <row r="70" ht="14.25" customHeight="1">
      <c r="A70" s="112" t="s">
        <v>69</v>
      </c>
      <c r="D70" s="112" t="s">
        <v>542</v>
      </c>
      <c r="E70" s="112" t="s">
        <v>69</v>
      </c>
      <c r="F70" s="112">
        <v>107.11665</v>
      </c>
      <c r="G70" s="112">
        <v>14.8895</v>
      </c>
      <c r="H70" s="112" t="str">
        <f t="shared" si="1"/>
        <v>POINT Z (107.11665 14.8895)</v>
      </c>
    </row>
    <row r="71" ht="14.25" customHeight="1">
      <c r="A71" s="112" t="s">
        <v>134</v>
      </c>
      <c r="D71" s="112" t="s">
        <v>543</v>
      </c>
      <c r="E71" s="112" t="s">
        <v>131</v>
      </c>
      <c r="F71" s="112">
        <v>106.238286111111</v>
      </c>
      <c r="G71" s="112">
        <v>16.3564472222222</v>
      </c>
      <c r="H71" s="112" t="str">
        <f t="shared" si="1"/>
        <v>POINT Z (106.238286111111 16.3564472222222)</v>
      </c>
    </row>
    <row r="72" ht="14.25" customHeight="1">
      <c r="A72" s="112" t="s">
        <v>544</v>
      </c>
      <c r="D72" s="112" t="s">
        <v>545</v>
      </c>
      <c r="E72" s="112" t="s">
        <v>546</v>
      </c>
      <c r="F72" s="112">
        <v>106.644422222222</v>
      </c>
      <c r="G72" s="112">
        <v>15.1368416666666</v>
      </c>
      <c r="H72" s="112" t="str">
        <f t="shared" si="1"/>
        <v>POINT Z (106.644422222222 15.1368416666666)</v>
      </c>
    </row>
    <row r="73" ht="14.25" customHeight="1">
      <c r="A73" s="112" t="s">
        <v>547</v>
      </c>
      <c r="D73" s="112" t="s">
        <v>548</v>
      </c>
      <c r="E73" s="112" t="s">
        <v>547</v>
      </c>
      <c r="F73" s="112">
        <v>106.279153163875</v>
      </c>
      <c r="G73" s="112">
        <v>15.4919693318384</v>
      </c>
      <c r="H73" s="112" t="str">
        <f t="shared" si="1"/>
        <v>POINT Z (106.279153163875 15.4919693318384)</v>
      </c>
    </row>
    <row r="74" ht="14.25" customHeight="1">
      <c r="A74" s="112" t="s">
        <v>549</v>
      </c>
      <c r="D74" s="112" t="s">
        <v>550</v>
      </c>
      <c r="E74" s="112" t="s">
        <v>549</v>
      </c>
      <c r="F74" s="112">
        <v>106.283216671298</v>
      </c>
      <c r="G74" s="112">
        <v>15.487669892123</v>
      </c>
      <c r="H74" s="112" t="str">
        <f t="shared" si="1"/>
        <v>POINT Z (106.283216671298 15.487669892123)</v>
      </c>
    </row>
    <row r="75" ht="14.25" customHeight="1">
      <c r="A75" s="112" t="s">
        <v>551</v>
      </c>
      <c r="D75" s="112" t="s">
        <v>552</v>
      </c>
      <c r="E75" s="112" t="s">
        <v>551</v>
      </c>
      <c r="F75" s="112">
        <v>106.296318504136</v>
      </c>
      <c r="G75" s="112">
        <v>15.3703520833273</v>
      </c>
      <c r="H75" s="112" t="str">
        <f t="shared" si="1"/>
        <v>POINT Z (106.296318504136 15.3703520833273)</v>
      </c>
    </row>
    <row r="76" ht="14.25" customHeight="1">
      <c r="A76" s="112" t="s">
        <v>553</v>
      </c>
      <c r="D76" s="112" t="s">
        <v>554</v>
      </c>
      <c r="E76" s="112" t="s">
        <v>91</v>
      </c>
      <c r="F76" s="112">
        <v>106.641275</v>
      </c>
      <c r="G76" s="112">
        <v>15.1222527777777</v>
      </c>
      <c r="H76" s="112" t="str">
        <f t="shared" si="1"/>
        <v>POINT Z (106.641275 15.1222527777777)</v>
      </c>
    </row>
    <row r="77" ht="14.25" customHeight="1">
      <c r="A77" s="112" t="s">
        <v>555</v>
      </c>
      <c r="D77" s="112" t="s">
        <v>556</v>
      </c>
      <c r="E77" s="112" t="s">
        <v>84</v>
      </c>
      <c r="F77" s="112">
        <v>106.731475</v>
      </c>
      <c r="G77" s="112">
        <v>14.8414055555555</v>
      </c>
      <c r="H77" s="112" t="str">
        <f t="shared" si="1"/>
        <v>POINT Z (106.731475 14.8414055555555)</v>
      </c>
    </row>
    <row r="78" ht="14.25" customHeight="1">
      <c r="A78" s="112" t="s">
        <v>557</v>
      </c>
      <c r="B78" s="112" t="s">
        <v>98</v>
      </c>
      <c r="H78" s="112" t="s">
        <v>558</v>
      </c>
    </row>
    <row r="79" ht="14.25" customHeight="1">
      <c r="A79" s="112" t="s">
        <v>557</v>
      </c>
      <c r="B79" s="112" t="s">
        <v>98</v>
      </c>
      <c r="H79" s="112" t="s">
        <v>559</v>
      </c>
    </row>
    <row r="80" ht="14.25" customHeight="1">
      <c r="A80" s="112" t="s">
        <v>557</v>
      </c>
      <c r="B80" s="112" t="s">
        <v>98</v>
      </c>
      <c r="H80" s="112" t="s">
        <v>560</v>
      </c>
    </row>
    <row r="81" ht="14.25" customHeight="1">
      <c r="A81" s="112" t="s">
        <v>561</v>
      </c>
      <c r="B81" s="112" t="s">
        <v>98</v>
      </c>
      <c r="H81" s="112" t="s">
        <v>562</v>
      </c>
    </row>
    <row r="82" ht="14.25" customHeight="1">
      <c r="A82" s="112" t="s">
        <v>563</v>
      </c>
      <c r="B82" s="112" t="s">
        <v>98</v>
      </c>
      <c r="H82" s="112" t="s">
        <v>564</v>
      </c>
    </row>
    <row r="83" ht="14.25" customHeight="1">
      <c r="A83" s="112" t="s">
        <v>565</v>
      </c>
      <c r="B83" s="112" t="s">
        <v>94</v>
      </c>
      <c r="H83" s="112" t="s">
        <v>566</v>
      </c>
    </row>
    <row r="84" ht="14.25" customHeight="1">
      <c r="A84" s="112" t="s">
        <v>567</v>
      </c>
      <c r="B84" s="112" t="s">
        <v>94</v>
      </c>
      <c r="H84" s="112" t="s">
        <v>568</v>
      </c>
    </row>
    <row r="85" ht="14.25" customHeight="1">
      <c r="A85" s="112" t="s">
        <v>569</v>
      </c>
      <c r="B85" s="112" t="s">
        <v>94</v>
      </c>
      <c r="H85" s="112" t="s">
        <v>570</v>
      </c>
    </row>
    <row r="86" ht="14.25" customHeight="1">
      <c r="A86" s="112" t="s">
        <v>571</v>
      </c>
      <c r="B86" s="112" t="s">
        <v>94</v>
      </c>
      <c r="H86" s="112" t="s">
        <v>572</v>
      </c>
    </row>
    <row r="87" ht="14.25" customHeight="1">
      <c r="A87" s="112" t="s">
        <v>573</v>
      </c>
      <c r="B87" s="112" t="s">
        <v>94</v>
      </c>
      <c r="H87" s="112" t="s">
        <v>574</v>
      </c>
    </row>
    <row r="88" ht="14.25" customHeight="1">
      <c r="A88" s="112" t="s">
        <v>575</v>
      </c>
      <c r="B88" s="112" t="s">
        <v>72</v>
      </c>
      <c r="H88" s="112" t="s">
        <v>576</v>
      </c>
    </row>
    <row r="89" ht="14.25" customHeight="1">
      <c r="A89" s="112" t="s">
        <v>577</v>
      </c>
      <c r="B89" s="112" t="s">
        <v>72</v>
      </c>
      <c r="H89" s="112" t="s">
        <v>578</v>
      </c>
    </row>
    <row r="90" ht="14.25" customHeight="1">
      <c r="A90" s="112" t="s">
        <v>579</v>
      </c>
      <c r="B90" s="112" t="s">
        <v>72</v>
      </c>
      <c r="H90" s="112" t="s">
        <v>580</v>
      </c>
    </row>
    <row r="91" ht="14.25" customHeight="1">
      <c r="A91" s="112" t="s">
        <v>581</v>
      </c>
      <c r="B91" s="112" t="s">
        <v>72</v>
      </c>
      <c r="H91" s="112" t="s">
        <v>582</v>
      </c>
    </row>
    <row r="92" ht="14.25" customHeight="1">
      <c r="A92" s="112" t="s">
        <v>583</v>
      </c>
      <c r="B92" s="112" t="s">
        <v>72</v>
      </c>
      <c r="H92" s="112" t="s">
        <v>584</v>
      </c>
    </row>
    <row r="93" ht="14.25" customHeight="1">
      <c r="A93" s="112" t="s">
        <v>585</v>
      </c>
      <c r="B93" s="112" t="s">
        <v>72</v>
      </c>
      <c r="H93" s="112" t="s">
        <v>586</v>
      </c>
    </row>
    <row r="94" ht="14.25" customHeight="1">
      <c r="A94" s="112" t="s">
        <v>587</v>
      </c>
      <c r="B94" s="112" t="s">
        <v>118</v>
      </c>
      <c r="H94" s="112" t="s">
        <v>588</v>
      </c>
    </row>
    <row r="95" ht="14.25" customHeight="1">
      <c r="A95" s="112" t="s">
        <v>589</v>
      </c>
      <c r="B95" s="112" t="s">
        <v>118</v>
      </c>
      <c r="H95" s="112" t="s">
        <v>590</v>
      </c>
    </row>
    <row r="96" ht="14.25" customHeight="1">
      <c r="A96" s="112" t="s">
        <v>591</v>
      </c>
      <c r="B96" s="112" t="s">
        <v>118</v>
      </c>
      <c r="H96" s="112" t="s">
        <v>592</v>
      </c>
    </row>
    <row r="97" ht="14.25" customHeight="1">
      <c r="A97" s="112" t="s">
        <v>593</v>
      </c>
      <c r="B97" s="112" t="s">
        <v>118</v>
      </c>
      <c r="H97" s="112" t="s">
        <v>594</v>
      </c>
    </row>
    <row r="98" ht="14.25" customHeight="1">
      <c r="A98" s="112" t="s">
        <v>595</v>
      </c>
      <c r="B98" s="112" t="s">
        <v>118</v>
      </c>
      <c r="H98" s="112" t="s">
        <v>596</v>
      </c>
    </row>
    <row r="99" ht="14.25" customHeight="1">
      <c r="A99" s="112" t="s">
        <v>597</v>
      </c>
      <c r="B99" s="112" t="s">
        <v>118</v>
      </c>
      <c r="H99" s="112" t="s">
        <v>598</v>
      </c>
    </row>
    <row r="100" ht="14.25" customHeight="1">
      <c r="A100" s="112" t="s">
        <v>599</v>
      </c>
      <c r="B100" s="112" t="s">
        <v>118</v>
      </c>
      <c r="H100" s="112" t="s">
        <v>600</v>
      </c>
    </row>
    <row r="101" ht="14.25" customHeight="1">
      <c r="A101" s="112" t="s">
        <v>601</v>
      </c>
      <c r="B101" s="112" t="s">
        <v>118</v>
      </c>
      <c r="H101" s="112" t="s">
        <v>602</v>
      </c>
    </row>
    <row r="102" ht="14.25" customHeight="1">
      <c r="A102" s="112" t="s">
        <v>603</v>
      </c>
      <c r="B102" s="112" t="s">
        <v>118</v>
      </c>
      <c r="H102" s="112" t="s">
        <v>604</v>
      </c>
    </row>
    <row r="103" ht="14.25" customHeight="1">
      <c r="A103" s="112" t="s">
        <v>605</v>
      </c>
      <c r="B103" s="112" t="s">
        <v>118</v>
      </c>
      <c r="H103" s="112" t="s">
        <v>606</v>
      </c>
    </row>
    <row r="104" ht="14.25" customHeight="1">
      <c r="A104" s="112" t="s">
        <v>607</v>
      </c>
      <c r="B104" s="112" t="s">
        <v>118</v>
      </c>
      <c r="H104" s="112" t="s">
        <v>608</v>
      </c>
    </row>
    <row r="105" ht="14.25" customHeight="1">
      <c r="A105" s="112" t="s">
        <v>609</v>
      </c>
      <c r="B105" s="112" t="s">
        <v>118</v>
      </c>
      <c r="H105" s="112" t="s">
        <v>610</v>
      </c>
    </row>
    <row r="106" ht="14.25" customHeight="1">
      <c r="A106" s="112" t="s">
        <v>611</v>
      </c>
      <c r="B106" s="112" t="s">
        <v>118</v>
      </c>
      <c r="H106" s="112" t="s">
        <v>612</v>
      </c>
    </row>
    <row r="107" ht="14.25" customHeight="1">
      <c r="A107" s="112" t="s">
        <v>613</v>
      </c>
      <c r="B107" s="112" t="s">
        <v>614</v>
      </c>
      <c r="H107" s="112" t="s">
        <v>615</v>
      </c>
    </row>
    <row r="108" ht="14.25" customHeight="1">
      <c r="A108" s="112" t="s">
        <v>616</v>
      </c>
      <c r="B108" s="112" t="s">
        <v>614</v>
      </c>
      <c r="H108" s="112" t="s">
        <v>617</v>
      </c>
    </row>
    <row r="109" ht="14.25" customHeight="1">
      <c r="A109" s="112" t="s">
        <v>618</v>
      </c>
      <c r="B109" s="112" t="s">
        <v>614</v>
      </c>
      <c r="H109" s="112" t="s">
        <v>619</v>
      </c>
    </row>
    <row r="110" ht="14.25" customHeight="1">
      <c r="A110" s="112" t="s">
        <v>620</v>
      </c>
      <c r="B110" s="112" t="s">
        <v>614</v>
      </c>
      <c r="H110" s="112" t="s">
        <v>621</v>
      </c>
    </row>
    <row r="111" ht="14.25" customHeight="1">
      <c r="A111" s="112" t="s">
        <v>622</v>
      </c>
      <c r="B111" s="112" t="s">
        <v>623</v>
      </c>
      <c r="H111" s="112" t="s">
        <v>624</v>
      </c>
    </row>
    <row r="112" ht="14.25" customHeight="1">
      <c r="A112" s="112" t="s">
        <v>625</v>
      </c>
      <c r="B112" s="112" t="s">
        <v>623</v>
      </c>
      <c r="H112" s="112" t="s">
        <v>626</v>
      </c>
    </row>
    <row r="113" ht="14.25" customHeight="1">
      <c r="A113" s="112" t="s">
        <v>627</v>
      </c>
      <c r="B113" s="112" t="s">
        <v>628</v>
      </c>
      <c r="H113" s="112" t="s">
        <v>629</v>
      </c>
    </row>
    <row r="114" ht="14.25" customHeight="1">
      <c r="A114" s="112" t="s">
        <v>630</v>
      </c>
      <c r="B114" s="112" t="s">
        <v>389</v>
      </c>
      <c r="H114" s="112" t="s">
        <v>631</v>
      </c>
    </row>
    <row r="115" ht="14.25" customHeight="1">
      <c r="A115" s="112" t="s">
        <v>632</v>
      </c>
      <c r="B115" s="112" t="s">
        <v>389</v>
      </c>
      <c r="H115" s="112" t="s">
        <v>633</v>
      </c>
    </row>
    <row r="116" ht="14.25" customHeight="1">
      <c r="A116" s="112" t="s">
        <v>634</v>
      </c>
      <c r="B116" s="112" t="s">
        <v>389</v>
      </c>
      <c r="H116" s="112" t="s">
        <v>635</v>
      </c>
    </row>
    <row r="117" ht="14.25" customHeight="1">
      <c r="A117" s="112" t="s">
        <v>636</v>
      </c>
      <c r="B117" s="112" t="s">
        <v>389</v>
      </c>
      <c r="H117" s="112" t="s">
        <v>637</v>
      </c>
    </row>
    <row r="118" ht="14.25" customHeight="1">
      <c r="A118" s="112" t="s">
        <v>638</v>
      </c>
      <c r="B118" s="112" t="s">
        <v>389</v>
      </c>
      <c r="H118" s="112" t="s">
        <v>639</v>
      </c>
    </row>
    <row r="119" ht="14.25" customHeight="1">
      <c r="A119" s="112" t="s">
        <v>640</v>
      </c>
      <c r="B119" s="112" t="s">
        <v>386</v>
      </c>
      <c r="H119" s="112" t="s">
        <v>641</v>
      </c>
    </row>
    <row r="120" ht="14.25" customHeight="1">
      <c r="A120" s="112" t="s">
        <v>642</v>
      </c>
      <c r="B120" s="112" t="s">
        <v>386</v>
      </c>
      <c r="H120" s="112" t="s">
        <v>643</v>
      </c>
    </row>
    <row r="121" ht="14.25" customHeight="1">
      <c r="A121" s="112" t="s">
        <v>644</v>
      </c>
      <c r="B121" s="112" t="s">
        <v>51</v>
      </c>
      <c r="H121" s="112" t="s">
        <v>645</v>
      </c>
    </row>
    <row r="122" ht="14.25" customHeight="1">
      <c r="A122" s="112" t="s">
        <v>646</v>
      </c>
      <c r="B122" s="112" t="s">
        <v>51</v>
      </c>
      <c r="H122" s="112" t="s">
        <v>647</v>
      </c>
    </row>
    <row r="123" ht="14.25" customHeight="1">
      <c r="A123" s="112" t="s">
        <v>648</v>
      </c>
      <c r="B123" s="112" t="s">
        <v>51</v>
      </c>
      <c r="H123" s="112" t="s">
        <v>649</v>
      </c>
    </row>
    <row r="124" ht="14.25" customHeight="1">
      <c r="A124" s="112" t="s">
        <v>650</v>
      </c>
      <c r="B124" s="112" t="s">
        <v>51</v>
      </c>
      <c r="H124" s="112" t="s">
        <v>651</v>
      </c>
    </row>
    <row r="125" ht="14.25" customHeight="1">
      <c r="A125" s="112" t="s">
        <v>652</v>
      </c>
      <c r="B125" s="112" t="s">
        <v>51</v>
      </c>
      <c r="H125" s="112" t="s">
        <v>653</v>
      </c>
    </row>
    <row r="126" ht="14.25" customHeight="1">
      <c r="A126" s="112" t="s">
        <v>630</v>
      </c>
      <c r="B126" s="112" t="s">
        <v>56</v>
      </c>
      <c r="H126" s="112" t="s">
        <v>654</v>
      </c>
    </row>
    <row r="127" ht="14.25" customHeight="1">
      <c r="A127" s="112" t="s">
        <v>655</v>
      </c>
      <c r="B127" s="112" t="s">
        <v>56</v>
      </c>
      <c r="H127" s="112" t="s">
        <v>656</v>
      </c>
    </row>
    <row r="128" ht="14.25" customHeight="1">
      <c r="A128" s="112" t="s">
        <v>657</v>
      </c>
      <c r="B128" s="112" t="s">
        <v>56</v>
      </c>
      <c r="H128" s="112" t="s">
        <v>658</v>
      </c>
    </row>
    <row r="129" ht="14.25" customHeight="1">
      <c r="A129" s="112" t="s">
        <v>659</v>
      </c>
      <c r="B129" s="112" t="s">
        <v>56</v>
      </c>
      <c r="H129" s="112" t="s">
        <v>660</v>
      </c>
    </row>
    <row r="130" ht="14.25" customHeight="1">
      <c r="A130" s="112" t="s">
        <v>638</v>
      </c>
      <c r="B130" s="112" t="s">
        <v>56</v>
      </c>
      <c r="H130" s="112" t="s">
        <v>661</v>
      </c>
    </row>
    <row r="131" ht="14.25" customHeight="1">
      <c r="A131" s="112" t="s">
        <v>640</v>
      </c>
      <c r="B131" s="112" t="s">
        <v>59</v>
      </c>
      <c r="H131" s="112" t="s">
        <v>662</v>
      </c>
    </row>
    <row r="132" ht="14.25" customHeight="1">
      <c r="A132" s="112" t="s">
        <v>663</v>
      </c>
      <c r="B132" s="112" t="s">
        <v>59</v>
      </c>
      <c r="H132" s="112" t="s">
        <v>664</v>
      </c>
    </row>
    <row r="133" ht="14.25" customHeight="1">
      <c r="A133" s="112" t="s">
        <v>642</v>
      </c>
      <c r="B133" s="112" t="s">
        <v>59</v>
      </c>
      <c r="H133" s="112" t="s">
        <v>665</v>
      </c>
    </row>
    <row r="134" ht="14.25" customHeight="1">
      <c r="A134" s="112" t="s">
        <v>666</v>
      </c>
      <c r="B134" s="112" t="s">
        <v>382</v>
      </c>
      <c r="H134" s="112" t="s">
        <v>667</v>
      </c>
    </row>
    <row r="135" ht="14.25" customHeight="1">
      <c r="A135" s="112" t="s">
        <v>668</v>
      </c>
      <c r="B135" s="112" t="s">
        <v>382</v>
      </c>
      <c r="H135" s="112" t="s">
        <v>669</v>
      </c>
    </row>
    <row r="136" ht="14.25" customHeight="1">
      <c r="A136" s="112" t="s">
        <v>670</v>
      </c>
      <c r="B136" s="112" t="s">
        <v>382</v>
      </c>
      <c r="H136" s="112" t="s">
        <v>671</v>
      </c>
    </row>
    <row r="137" ht="14.25" customHeight="1">
      <c r="A137" s="112" t="s">
        <v>672</v>
      </c>
      <c r="B137" s="112" t="s">
        <v>382</v>
      </c>
      <c r="H137" s="112" t="s">
        <v>673</v>
      </c>
    </row>
    <row r="138" ht="14.25" customHeight="1">
      <c r="A138" s="112" t="s">
        <v>674</v>
      </c>
      <c r="B138" s="112" t="s">
        <v>382</v>
      </c>
      <c r="H138" s="112" t="s">
        <v>675</v>
      </c>
    </row>
    <row r="139" ht="14.25" customHeight="1">
      <c r="A139" s="112" t="s">
        <v>676</v>
      </c>
      <c r="B139" s="112" t="s">
        <v>382</v>
      </c>
      <c r="H139" s="112" t="s">
        <v>677</v>
      </c>
    </row>
    <row r="140" ht="14.25" customHeight="1">
      <c r="A140" s="112" t="s">
        <v>678</v>
      </c>
      <c r="B140" s="112" t="s">
        <v>679</v>
      </c>
      <c r="H140" s="112" t="s">
        <v>680</v>
      </c>
    </row>
    <row r="141" ht="14.25" customHeight="1">
      <c r="A141" s="112" t="s">
        <v>681</v>
      </c>
      <c r="B141" s="112" t="s">
        <v>679</v>
      </c>
      <c r="H141" s="112" t="s">
        <v>682</v>
      </c>
    </row>
    <row r="142" ht="14.25" customHeight="1">
      <c r="A142" s="112" t="s">
        <v>681</v>
      </c>
      <c r="B142" s="112" t="s">
        <v>679</v>
      </c>
      <c r="H142" s="112" t="s">
        <v>683</v>
      </c>
    </row>
    <row r="143" ht="14.25" customHeight="1">
      <c r="A143" s="112" t="s">
        <v>684</v>
      </c>
      <c r="B143" s="112" t="s">
        <v>679</v>
      </c>
      <c r="H143" s="112" t="s">
        <v>685</v>
      </c>
    </row>
    <row r="144" ht="14.25" customHeight="1">
      <c r="A144" s="112" t="s">
        <v>686</v>
      </c>
      <c r="B144" s="112" t="s">
        <v>679</v>
      </c>
      <c r="H144" s="112" t="s">
        <v>687</v>
      </c>
    </row>
    <row r="145" ht="14.25" customHeight="1">
      <c r="A145" s="112" t="s">
        <v>688</v>
      </c>
      <c r="B145" s="112" t="s">
        <v>679</v>
      </c>
      <c r="H145" s="112" t="s">
        <v>689</v>
      </c>
    </row>
    <row r="146" ht="14.25" customHeight="1">
      <c r="A146" s="112" t="s">
        <v>690</v>
      </c>
      <c r="B146" s="112" t="s">
        <v>679</v>
      </c>
      <c r="H146" s="112" t="s">
        <v>691</v>
      </c>
    </row>
    <row r="147" ht="14.25" customHeight="1">
      <c r="A147" s="112" t="s">
        <v>692</v>
      </c>
      <c r="B147" s="112" t="s">
        <v>679</v>
      </c>
      <c r="H147" s="112" t="s">
        <v>693</v>
      </c>
    </row>
    <row r="148" ht="14.25" customHeight="1">
      <c r="A148" s="112" t="s">
        <v>694</v>
      </c>
      <c r="B148" s="112" t="s">
        <v>679</v>
      </c>
      <c r="H148" s="112" t="s">
        <v>695</v>
      </c>
    </row>
    <row r="149" ht="14.25" customHeight="1">
      <c r="A149" s="112" t="s">
        <v>644</v>
      </c>
      <c r="B149" s="112" t="s">
        <v>327</v>
      </c>
      <c r="H149" s="112" t="s">
        <v>696</v>
      </c>
    </row>
    <row r="150" ht="14.25" customHeight="1">
      <c r="A150" s="112" t="s">
        <v>697</v>
      </c>
      <c r="B150" s="112" t="s">
        <v>327</v>
      </c>
      <c r="H150" s="112" t="s">
        <v>698</v>
      </c>
    </row>
    <row r="151" ht="14.25" customHeight="1">
      <c r="A151" s="112" t="s">
        <v>699</v>
      </c>
      <c r="B151" s="112" t="s">
        <v>285</v>
      </c>
      <c r="H151" s="112" t="s">
        <v>700</v>
      </c>
    </row>
    <row r="152" ht="14.25" customHeight="1">
      <c r="A152" s="112" t="s">
        <v>701</v>
      </c>
      <c r="B152" s="112" t="s">
        <v>285</v>
      </c>
      <c r="H152" s="112" t="s">
        <v>702</v>
      </c>
    </row>
    <row r="153" ht="14.25" customHeight="1">
      <c r="A153" s="112" t="s">
        <v>703</v>
      </c>
      <c r="B153" s="112" t="s">
        <v>285</v>
      </c>
      <c r="H153" s="112" t="s">
        <v>704</v>
      </c>
    </row>
    <row r="154" ht="14.25" customHeight="1">
      <c r="A154" s="112" t="s">
        <v>705</v>
      </c>
      <c r="B154" s="112" t="s">
        <v>285</v>
      </c>
      <c r="H154" s="112" t="s">
        <v>706</v>
      </c>
    </row>
    <row r="155" ht="14.25" customHeight="1">
      <c r="A155" s="112" t="s">
        <v>707</v>
      </c>
      <c r="B155" s="112" t="s">
        <v>285</v>
      </c>
      <c r="H155" s="112" t="s">
        <v>708</v>
      </c>
    </row>
    <row r="156" ht="14.25" customHeight="1">
      <c r="A156" s="112" t="s">
        <v>709</v>
      </c>
      <c r="B156" s="112" t="s">
        <v>222</v>
      </c>
      <c r="H156" s="112" t="s">
        <v>710</v>
      </c>
    </row>
    <row r="157" ht="14.25" customHeight="1">
      <c r="A157" s="112" t="s">
        <v>711</v>
      </c>
      <c r="B157" s="112" t="s">
        <v>222</v>
      </c>
      <c r="H157" s="112" t="s">
        <v>712</v>
      </c>
    </row>
    <row r="158" ht="14.25" customHeight="1">
      <c r="A158" s="112" t="s">
        <v>713</v>
      </c>
      <c r="B158" s="112" t="s">
        <v>222</v>
      </c>
      <c r="H158" s="112" t="s">
        <v>714</v>
      </c>
    </row>
    <row r="159" ht="14.25" customHeight="1">
      <c r="A159" s="112" t="s">
        <v>715</v>
      </c>
      <c r="B159" s="112" t="s">
        <v>222</v>
      </c>
      <c r="H159" s="112" t="s">
        <v>716</v>
      </c>
    </row>
    <row r="160" ht="14.25" customHeight="1">
      <c r="A160" s="112" t="s">
        <v>717</v>
      </c>
      <c r="B160" s="112" t="s">
        <v>222</v>
      </c>
      <c r="H160" s="112" t="s">
        <v>718</v>
      </c>
    </row>
    <row r="161" ht="14.25" customHeight="1">
      <c r="A161" s="112" t="s">
        <v>719</v>
      </c>
      <c r="B161" s="112" t="s">
        <v>222</v>
      </c>
      <c r="H161" s="112" t="s">
        <v>720</v>
      </c>
    </row>
    <row r="162" ht="14.25" customHeight="1">
      <c r="A162" s="112" t="s">
        <v>721</v>
      </c>
      <c r="B162" s="112" t="s">
        <v>222</v>
      </c>
      <c r="H162" s="112" t="s">
        <v>722</v>
      </c>
    </row>
    <row r="163" ht="14.25" customHeight="1">
      <c r="A163" s="112" t="s">
        <v>723</v>
      </c>
      <c r="B163" s="112" t="s">
        <v>222</v>
      </c>
      <c r="H163" s="112" t="s">
        <v>724</v>
      </c>
    </row>
    <row r="164" ht="14.25" customHeight="1">
      <c r="A164" s="112" t="s">
        <v>725</v>
      </c>
      <c r="B164" s="112" t="s">
        <v>214</v>
      </c>
      <c r="H164" s="112" t="s">
        <v>726</v>
      </c>
    </row>
    <row r="165" ht="14.25" customHeight="1">
      <c r="A165" s="112" t="s">
        <v>727</v>
      </c>
      <c r="B165" s="112" t="s">
        <v>214</v>
      </c>
      <c r="H165" s="112" t="s">
        <v>728</v>
      </c>
    </row>
    <row r="166" ht="14.25" customHeight="1">
      <c r="A166" s="112" t="s">
        <v>729</v>
      </c>
      <c r="B166" s="112" t="s">
        <v>214</v>
      </c>
      <c r="H166" s="112" t="s">
        <v>730</v>
      </c>
    </row>
    <row r="167" ht="14.25" customHeight="1">
      <c r="A167" s="112" t="s">
        <v>731</v>
      </c>
      <c r="B167" s="112" t="s">
        <v>214</v>
      </c>
      <c r="H167" s="112" t="s">
        <v>732</v>
      </c>
    </row>
    <row r="168" ht="14.25" customHeight="1">
      <c r="A168" s="112" t="s">
        <v>733</v>
      </c>
      <c r="B168" s="112" t="s">
        <v>214</v>
      </c>
      <c r="H168" s="112" t="s">
        <v>734</v>
      </c>
    </row>
    <row r="169" ht="14.25" customHeight="1">
      <c r="A169" s="112" t="s">
        <v>735</v>
      </c>
      <c r="B169" s="112" t="s">
        <v>312</v>
      </c>
      <c r="H169" s="112" t="s">
        <v>736</v>
      </c>
    </row>
    <row r="170" ht="14.25" customHeight="1">
      <c r="A170" s="112" t="s">
        <v>737</v>
      </c>
      <c r="B170" s="112" t="s">
        <v>312</v>
      </c>
      <c r="H170" s="112" t="s">
        <v>738</v>
      </c>
    </row>
    <row r="171" ht="14.25" customHeight="1">
      <c r="A171" s="112" t="s">
        <v>739</v>
      </c>
      <c r="B171" s="112" t="s">
        <v>312</v>
      </c>
      <c r="H171" s="112" t="s">
        <v>740</v>
      </c>
    </row>
    <row r="172" ht="14.25" customHeight="1">
      <c r="A172" s="112" t="s">
        <v>741</v>
      </c>
      <c r="B172" s="112" t="s">
        <v>312</v>
      </c>
      <c r="H172" s="112" t="s">
        <v>742</v>
      </c>
    </row>
    <row r="173" ht="14.25" customHeight="1">
      <c r="A173" s="112" t="s">
        <v>743</v>
      </c>
      <c r="B173" s="112" t="s">
        <v>312</v>
      </c>
      <c r="H173" s="112" t="s">
        <v>744</v>
      </c>
    </row>
    <row r="174" ht="14.25" customHeight="1">
      <c r="A174" s="112" t="s">
        <v>745</v>
      </c>
      <c r="B174" s="112" t="s">
        <v>306</v>
      </c>
      <c r="H174" s="112" t="s">
        <v>746</v>
      </c>
    </row>
    <row r="175" ht="14.25" customHeight="1">
      <c r="A175" s="112" t="s">
        <v>747</v>
      </c>
      <c r="B175" s="112" t="s">
        <v>306</v>
      </c>
      <c r="H175" s="112" t="s">
        <v>748</v>
      </c>
    </row>
    <row r="176" ht="14.25" customHeight="1">
      <c r="A176" s="112" t="s">
        <v>749</v>
      </c>
      <c r="B176" s="112" t="s">
        <v>306</v>
      </c>
      <c r="H176" s="112" t="s">
        <v>750</v>
      </c>
    </row>
    <row r="177" ht="14.25" customHeight="1">
      <c r="A177" s="112" t="s">
        <v>751</v>
      </c>
      <c r="B177" s="112" t="s">
        <v>306</v>
      </c>
      <c r="H177" s="112" t="s">
        <v>752</v>
      </c>
    </row>
    <row r="178" ht="14.25" customHeight="1">
      <c r="A178" s="112" t="s">
        <v>753</v>
      </c>
      <c r="B178" s="112" t="s">
        <v>514</v>
      </c>
      <c r="H178" s="112" t="s">
        <v>754</v>
      </c>
    </row>
    <row r="179" ht="14.25" customHeight="1">
      <c r="A179" s="112" t="s">
        <v>755</v>
      </c>
      <c r="B179" s="112" t="s">
        <v>514</v>
      </c>
      <c r="H179" s="112" t="s">
        <v>756</v>
      </c>
    </row>
    <row r="180" ht="14.25" customHeight="1">
      <c r="A180" s="112" t="s">
        <v>757</v>
      </c>
      <c r="B180" s="112" t="s">
        <v>514</v>
      </c>
      <c r="H180" s="112" t="s">
        <v>758</v>
      </c>
    </row>
    <row r="181" ht="14.25" customHeight="1">
      <c r="A181" s="112" t="s">
        <v>759</v>
      </c>
      <c r="B181" s="112" t="s">
        <v>514</v>
      </c>
      <c r="H181" s="112" t="s">
        <v>760</v>
      </c>
    </row>
    <row r="182" ht="14.25" customHeight="1">
      <c r="A182" s="112" t="s">
        <v>761</v>
      </c>
      <c r="B182" s="112" t="s">
        <v>762</v>
      </c>
      <c r="H182" s="112" t="s">
        <v>763</v>
      </c>
    </row>
    <row r="183" ht="14.25" customHeight="1">
      <c r="A183" s="112" t="s">
        <v>764</v>
      </c>
      <c r="B183" s="112" t="s">
        <v>765</v>
      </c>
      <c r="H183" s="112" t="s">
        <v>766</v>
      </c>
    </row>
    <row r="184" ht="14.25" customHeight="1">
      <c r="A184" s="112" t="s">
        <v>767</v>
      </c>
      <c r="B184" s="112" t="s">
        <v>765</v>
      </c>
      <c r="H184" s="112" t="s">
        <v>768</v>
      </c>
    </row>
    <row r="185" ht="14.25" customHeight="1">
      <c r="A185" s="112" t="s">
        <v>769</v>
      </c>
      <c r="B185" s="112" t="s">
        <v>765</v>
      </c>
      <c r="H185" s="112" t="s">
        <v>770</v>
      </c>
    </row>
    <row r="186" ht="14.25" customHeight="1">
      <c r="A186" s="112" t="s">
        <v>771</v>
      </c>
      <c r="B186" s="112" t="s">
        <v>317</v>
      </c>
      <c r="H186" s="112" t="s">
        <v>772</v>
      </c>
    </row>
    <row r="187" ht="14.25" customHeight="1">
      <c r="A187" s="112" t="s">
        <v>773</v>
      </c>
      <c r="B187" s="112" t="s">
        <v>317</v>
      </c>
      <c r="H187" s="112" t="s">
        <v>774</v>
      </c>
    </row>
    <row r="188" ht="14.25" customHeight="1">
      <c r="A188" s="112" t="s">
        <v>775</v>
      </c>
      <c r="B188" s="112" t="s">
        <v>317</v>
      </c>
      <c r="H188" s="112" t="s">
        <v>776</v>
      </c>
    </row>
    <row r="189" ht="14.25" customHeight="1">
      <c r="A189" s="112" t="s">
        <v>777</v>
      </c>
      <c r="B189" s="112" t="s">
        <v>170</v>
      </c>
      <c r="H189" s="112" t="s">
        <v>778</v>
      </c>
    </row>
    <row r="190" ht="14.25" customHeight="1">
      <c r="A190" s="112" t="s">
        <v>779</v>
      </c>
      <c r="B190" s="112" t="s">
        <v>170</v>
      </c>
      <c r="H190" s="112" t="s">
        <v>780</v>
      </c>
    </row>
    <row r="191" ht="14.25" customHeight="1">
      <c r="A191" s="112" t="s">
        <v>781</v>
      </c>
      <c r="B191" s="112" t="s">
        <v>170</v>
      </c>
      <c r="H191" s="112" t="s">
        <v>782</v>
      </c>
    </row>
    <row r="192" ht="14.25" customHeight="1">
      <c r="A192" s="112" t="s">
        <v>783</v>
      </c>
      <c r="B192" s="112" t="s">
        <v>138</v>
      </c>
      <c r="H192" s="112" t="s">
        <v>784</v>
      </c>
    </row>
    <row r="193" ht="14.25" customHeight="1">
      <c r="A193" s="112" t="s">
        <v>785</v>
      </c>
      <c r="B193" s="112" t="s">
        <v>138</v>
      </c>
      <c r="H193" s="112" t="s">
        <v>786</v>
      </c>
    </row>
    <row r="194" ht="14.25" customHeight="1">
      <c r="A194" s="112" t="s">
        <v>787</v>
      </c>
      <c r="B194" s="112" t="s">
        <v>138</v>
      </c>
      <c r="H194" s="112" t="s">
        <v>788</v>
      </c>
    </row>
    <row r="195" ht="14.25" customHeight="1">
      <c r="A195" s="112" t="s">
        <v>789</v>
      </c>
      <c r="B195" s="112" t="s">
        <v>138</v>
      </c>
      <c r="H195" s="112" t="s">
        <v>790</v>
      </c>
    </row>
    <row r="196" ht="14.25" customHeight="1">
      <c r="A196" s="112" t="s">
        <v>791</v>
      </c>
      <c r="B196" s="112" t="s">
        <v>138</v>
      </c>
      <c r="H196" s="112" t="s">
        <v>792</v>
      </c>
    </row>
    <row r="197" ht="14.25" customHeight="1">
      <c r="A197" s="112" t="s">
        <v>793</v>
      </c>
      <c r="B197" s="112" t="s">
        <v>138</v>
      </c>
      <c r="H197" s="112" t="s">
        <v>794</v>
      </c>
    </row>
    <row r="198" ht="14.25" customHeight="1">
      <c r="A198" s="112" t="s">
        <v>795</v>
      </c>
      <c r="B198" s="112" t="s">
        <v>796</v>
      </c>
      <c r="H198" s="112" t="s">
        <v>797</v>
      </c>
    </row>
    <row r="199" ht="14.25" customHeight="1">
      <c r="A199" s="112" t="s">
        <v>798</v>
      </c>
      <c r="B199" s="112" t="s">
        <v>796</v>
      </c>
      <c r="H199" s="112" t="s">
        <v>799</v>
      </c>
    </row>
    <row r="200" ht="14.25" customHeight="1">
      <c r="A200" s="112" t="s">
        <v>800</v>
      </c>
      <c r="B200" s="112" t="s">
        <v>796</v>
      </c>
      <c r="H200" s="112" t="s">
        <v>801</v>
      </c>
    </row>
    <row r="201" ht="14.25" customHeight="1">
      <c r="A201" s="112" t="s">
        <v>802</v>
      </c>
      <c r="B201" s="112" t="s">
        <v>796</v>
      </c>
      <c r="H201" s="112" t="s">
        <v>803</v>
      </c>
    </row>
    <row r="202" ht="14.25" customHeight="1">
      <c r="A202" s="112" t="s">
        <v>804</v>
      </c>
      <c r="B202" s="112" t="s">
        <v>796</v>
      </c>
      <c r="H202" s="112" t="s">
        <v>805</v>
      </c>
    </row>
    <row r="203" ht="14.25" customHeight="1">
      <c r="A203" s="112" t="s">
        <v>806</v>
      </c>
      <c r="B203" s="112" t="s">
        <v>796</v>
      </c>
      <c r="H203" s="112" t="s">
        <v>807</v>
      </c>
    </row>
    <row r="204" ht="14.25" customHeight="1">
      <c r="A204" s="112" t="s">
        <v>808</v>
      </c>
      <c r="B204" s="112" t="s">
        <v>796</v>
      </c>
      <c r="H204" s="112" t="s">
        <v>809</v>
      </c>
    </row>
    <row r="205" ht="14.25" customHeight="1">
      <c r="A205" s="112" t="s">
        <v>810</v>
      </c>
      <c r="B205" s="112" t="s">
        <v>796</v>
      </c>
      <c r="H205" s="112" t="s">
        <v>811</v>
      </c>
    </row>
    <row r="206" ht="14.25" customHeight="1">
      <c r="A206" s="112" t="s">
        <v>812</v>
      </c>
      <c r="B206" s="112" t="s">
        <v>66</v>
      </c>
      <c r="H206" s="112" t="s">
        <v>813</v>
      </c>
    </row>
    <row r="207" ht="14.25" customHeight="1">
      <c r="A207" s="112" t="s">
        <v>814</v>
      </c>
      <c r="B207" s="112" t="s">
        <v>62</v>
      </c>
      <c r="H207" s="112" t="s">
        <v>815</v>
      </c>
    </row>
    <row r="208" ht="14.25" customHeight="1">
      <c r="A208" s="112" t="s">
        <v>816</v>
      </c>
      <c r="B208" s="112" t="s">
        <v>62</v>
      </c>
      <c r="H208" s="112" t="s">
        <v>817</v>
      </c>
    </row>
    <row r="209" ht="14.25" customHeight="1">
      <c r="A209" s="112" t="s">
        <v>818</v>
      </c>
      <c r="B209" s="112" t="s">
        <v>819</v>
      </c>
      <c r="H209" s="112" t="s">
        <v>820</v>
      </c>
    </row>
    <row r="210" ht="14.25" customHeight="1">
      <c r="A210" s="112" t="s">
        <v>821</v>
      </c>
      <c r="B210" s="112" t="s">
        <v>819</v>
      </c>
      <c r="H210" s="112" t="s">
        <v>822</v>
      </c>
    </row>
    <row r="211" ht="14.25" customHeight="1">
      <c r="A211" s="112" t="s">
        <v>823</v>
      </c>
      <c r="B211" s="112" t="s">
        <v>824</v>
      </c>
      <c r="H211" s="112" t="s">
        <v>825</v>
      </c>
    </row>
    <row r="212" ht="14.25" customHeight="1">
      <c r="A212" s="112" t="s">
        <v>826</v>
      </c>
      <c r="B212" s="112" t="s">
        <v>824</v>
      </c>
      <c r="H212" s="112" t="s">
        <v>827</v>
      </c>
    </row>
    <row r="213" ht="14.25" customHeight="1">
      <c r="A213" s="112" t="s">
        <v>823</v>
      </c>
      <c r="B213" s="112" t="s">
        <v>824</v>
      </c>
      <c r="H213" s="112" t="s">
        <v>828</v>
      </c>
    </row>
    <row r="214" ht="14.25" customHeight="1">
      <c r="A214" s="112" t="s">
        <v>823</v>
      </c>
      <c r="B214" s="112" t="s">
        <v>824</v>
      </c>
      <c r="H214" s="112" t="s">
        <v>829</v>
      </c>
    </row>
    <row r="215" ht="14.25" customHeight="1">
      <c r="A215" s="112" t="s">
        <v>830</v>
      </c>
      <c r="B215" s="112" t="s">
        <v>824</v>
      </c>
      <c r="H215" s="112" t="s">
        <v>831</v>
      </c>
    </row>
    <row r="216" ht="14.25" customHeight="1">
      <c r="A216" s="112" t="s">
        <v>832</v>
      </c>
      <c r="B216" s="112" t="s">
        <v>824</v>
      </c>
      <c r="H216" s="112" t="s">
        <v>833</v>
      </c>
    </row>
    <row r="217" ht="14.25" customHeight="1">
      <c r="A217" s="112" t="s">
        <v>834</v>
      </c>
      <c r="B217" s="112" t="s">
        <v>824</v>
      </c>
      <c r="H217" s="112" t="s">
        <v>835</v>
      </c>
    </row>
    <row r="218" ht="14.25" customHeight="1">
      <c r="A218" s="112" t="s">
        <v>836</v>
      </c>
      <c r="B218" s="112" t="s">
        <v>837</v>
      </c>
      <c r="H218" s="112" t="s">
        <v>838</v>
      </c>
    </row>
    <row r="219" ht="14.25" customHeight="1">
      <c r="A219" s="112" t="s">
        <v>836</v>
      </c>
      <c r="B219" s="112" t="s">
        <v>837</v>
      </c>
      <c r="H219" s="112" t="s">
        <v>839</v>
      </c>
    </row>
    <row r="220" ht="14.25" customHeight="1">
      <c r="A220" s="112" t="s">
        <v>836</v>
      </c>
      <c r="B220" s="112" t="s">
        <v>837</v>
      </c>
      <c r="H220" s="112" t="s">
        <v>840</v>
      </c>
    </row>
    <row r="221" ht="14.25" customHeight="1">
      <c r="A221" s="112" t="s">
        <v>841</v>
      </c>
      <c r="B221" s="112" t="s">
        <v>837</v>
      </c>
      <c r="H221" s="112" t="s">
        <v>842</v>
      </c>
    </row>
    <row r="222" ht="14.25" customHeight="1">
      <c r="A222" s="112" t="s">
        <v>843</v>
      </c>
      <c r="B222" s="112" t="s">
        <v>837</v>
      </c>
      <c r="H222" s="112" t="s">
        <v>844</v>
      </c>
    </row>
    <row r="223" ht="14.25" customHeight="1">
      <c r="A223" s="112" t="s">
        <v>845</v>
      </c>
      <c r="B223" s="112" t="s">
        <v>837</v>
      </c>
      <c r="H223" s="112" t="s">
        <v>846</v>
      </c>
    </row>
    <row r="224" ht="14.25" customHeight="1">
      <c r="A224" s="112" t="s">
        <v>847</v>
      </c>
      <c r="B224" s="112" t="s">
        <v>837</v>
      </c>
      <c r="H224" s="112" t="s">
        <v>848</v>
      </c>
    </row>
    <row r="225" ht="14.25" customHeight="1">
      <c r="A225" s="112" t="s">
        <v>849</v>
      </c>
      <c r="B225" s="112" t="s">
        <v>837</v>
      </c>
      <c r="H225" s="112" t="s">
        <v>850</v>
      </c>
    </row>
    <row r="226" ht="14.25" customHeight="1">
      <c r="A226" s="112" t="s">
        <v>851</v>
      </c>
      <c r="B226" s="112" t="s">
        <v>837</v>
      </c>
      <c r="H226" s="112" t="s">
        <v>852</v>
      </c>
    </row>
    <row r="227" ht="14.25" customHeight="1">
      <c r="A227" s="112" t="s">
        <v>853</v>
      </c>
      <c r="B227" s="112" t="s">
        <v>837</v>
      </c>
      <c r="H227" s="112" t="s">
        <v>854</v>
      </c>
    </row>
    <row r="228" ht="14.25" customHeight="1">
      <c r="A228" s="112" t="s">
        <v>855</v>
      </c>
      <c r="B228" s="112" t="s">
        <v>837</v>
      </c>
      <c r="H228" s="112" t="s">
        <v>856</v>
      </c>
    </row>
    <row r="229" ht="14.25" customHeight="1">
      <c r="A229" s="112" t="s">
        <v>857</v>
      </c>
      <c r="B229" s="112" t="s">
        <v>858</v>
      </c>
      <c r="H229" s="112" t="s">
        <v>859</v>
      </c>
    </row>
    <row r="230" ht="14.25" customHeight="1">
      <c r="A230" s="112" t="s">
        <v>860</v>
      </c>
      <c r="B230" s="112" t="s">
        <v>858</v>
      </c>
      <c r="H230" s="112" t="s">
        <v>861</v>
      </c>
    </row>
    <row r="231" ht="14.25" customHeight="1">
      <c r="A231" s="112" t="s">
        <v>862</v>
      </c>
      <c r="B231" s="112" t="s">
        <v>858</v>
      </c>
      <c r="H231" s="112" t="s">
        <v>863</v>
      </c>
    </row>
    <row r="232" ht="14.25" customHeight="1">
      <c r="A232" s="112" t="s">
        <v>864</v>
      </c>
      <c r="B232" s="112" t="s">
        <v>858</v>
      </c>
      <c r="H232" s="112" t="s">
        <v>865</v>
      </c>
    </row>
    <row r="233" ht="14.25" customHeight="1">
      <c r="A233" s="112" t="s">
        <v>866</v>
      </c>
      <c r="B233" s="112" t="s">
        <v>547</v>
      </c>
      <c r="H233" s="112" t="s">
        <v>867</v>
      </c>
    </row>
    <row r="234" ht="14.25" customHeight="1">
      <c r="A234" s="112" t="s">
        <v>868</v>
      </c>
      <c r="B234" s="112" t="s">
        <v>547</v>
      </c>
      <c r="H234" s="112" t="s">
        <v>869</v>
      </c>
    </row>
    <row r="235" ht="14.25" customHeight="1">
      <c r="A235" s="112" t="s">
        <v>870</v>
      </c>
      <c r="B235" s="112" t="s">
        <v>547</v>
      </c>
      <c r="H235" s="112" t="s">
        <v>871</v>
      </c>
    </row>
    <row r="236" ht="14.25" customHeight="1">
      <c r="A236" s="112" t="s">
        <v>872</v>
      </c>
      <c r="B236" s="112" t="s">
        <v>547</v>
      </c>
      <c r="H236" s="112" t="s">
        <v>873</v>
      </c>
    </row>
    <row r="237" ht="14.25" customHeight="1">
      <c r="A237" s="112" t="s">
        <v>874</v>
      </c>
      <c r="B237" s="112" t="s">
        <v>549</v>
      </c>
      <c r="H237" s="112" t="s">
        <v>875</v>
      </c>
    </row>
    <row r="238" ht="14.25" customHeight="1">
      <c r="A238" s="112" t="s">
        <v>876</v>
      </c>
      <c r="B238" s="112" t="s">
        <v>549</v>
      </c>
      <c r="H238" s="112" t="s">
        <v>877</v>
      </c>
    </row>
    <row r="239" ht="14.25" customHeight="1">
      <c r="A239" s="112" t="s">
        <v>878</v>
      </c>
      <c r="B239" s="112" t="s">
        <v>549</v>
      </c>
      <c r="H239" s="112" t="s">
        <v>879</v>
      </c>
    </row>
    <row r="240" ht="14.25" customHeight="1">
      <c r="A240" s="112" t="s">
        <v>880</v>
      </c>
      <c r="B240" s="112" t="s">
        <v>549</v>
      </c>
      <c r="H240" s="112" t="s">
        <v>881</v>
      </c>
    </row>
    <row r="241" ht="14.25" customHeight="1">
      <c r="A241" s="112" t="s">
        <v>882</v>
      </c>
      <c r="B241" s="112" t="s">
        <v>549</v>
      </c>
      <c r="H241" s="112" t="s">
        <v>883</v>
      </c>
    </row>
    <row r="242" ht="14.25" customHeight="1">
      <c r="A242" s="112" t="s">
        <v>884</v>
      </c>
      <c r="B242" s="112" t="s">
        <v>549</v>
      </c>
      <c r="H242" s="112" t="s">
        <v>885</v>
      </c>
    </row>
    <row r="243" ht="14.25" customHeight="1">
      <c r="A243" s="112" t="s">
        <v>886</v>
      </c>
      <c r="B243" s="112" t="s">
        <v>549</v>
      </c>
      <c r="H243" s="112" t="s">
        <v>887</v>
      </c>
    </row>
    <row r="244" ht="14.25" customHeight="1">
      <c r="A244" s="112" t="s">
        <v>888</v>
      </c>
      <c r="B244" s="112" t="s">
        <v>549</v>
      </c>
      <c r="H244" s="112" t="s">
        <v>889</v>
      </c>
    </row>
    <row r="245" ht="14.25" customHeight="1">
      <c r="A245" s="112" t="s">
        <v>890</v>
      </c>
      <c r="B245" s="112" t="s">
        <v>549</v>
      </c>
      <c r="H245" s="112" t="s">
        <v>891</v>
      </c>
    </row>
    <row r="246" ht="14.25" customHeight="1">
      <c r="A246" s="112" t="s">
        <v>892</v>
      </c>
      <c r="B246" s="112" t="s">
        <v>549</v>
      </c>
      <c r="H246" s="112" t="s">
        <v>893</v>
      </c>
    </row>
    <row r="247" ht="14.25" customHeight="1">
      <c r="A247" s="112" t="s">
        <v>894</v>
      </c>
      <c r="B247" s="112" t="s">
        <v>549</v>
      </c>
      <c r="H247" s="112" t="s">
        <v>895</v>
      </c>
    </row>
    <row r="248" ht="14.25" customHeight="1">
      <c r="A248" s="112" t="s">
        <v>896</v>
      </c>
      <c r="B248" s="112" t="s">
        <v>551</v>
      </c>
      <c r="H248" s="112" t="s">
        <v>897</v>
      </c>
    </row>
    <row r="249" ht="14.25" customHeight="1">
      <c r="A249" s="112" t="s">
        <v>898</v>
      </c>
      <c r="B249" s="112" t="s">
        <v>551</v>
      </c>
      <c r="H249" s="112" t="s">
        <v>899</v>
      </c>
    </row>
    <row r="250" ht="14.25" customHeight="1">
      <c r="A250" s="112" t="s">
        <v>900</v>
      </c>
      <c r="B250" s="112" t="s">
        <v>551</v>
      </c>
      <c r="H250" s="112" t="s">
        <v>901</v>
      </c>
    </row>
    <row r="251" ht="14.25" customHeight="1">
      <c r="A251" s="112" t="s">
        <v>902</v>
      </c>
      <c r="B251" s="112" t="s">
        <v>551</v>
      </c>
      <c r="H251" s="112" t="s">
        <v>903</v>
      </c>
    </row>
    <row r="252" ht="14.25" customHeight="1">
      <c r="A252" s="112" t="s">
        <v>904</v>
      </c>
      <c r="B252" s="112" t="s">
        <v>551</v>
      </c>
      <c r="H252" s="112" t="s">
        <v>905</v>
      </c>
    </row>
    <row r="253" ht="14.25" customHeight="1">
      <c r="A253" s="112" t="s">
        <v>906</v>
      </c>
      <c r="B253" s="112" t="s">
        <v>907</v>
      </c>
      <c r="H253" s="112" t="s">
        <v>908</v>
      </c>
    </row>
    <row r="254" ht="14.25" customHeight="1">
      <c r="A254" s="112" t="s">
        <v>909</v>
      </c>
      <c r="B254" s="112" t="s">
        <v>907</v>
      </c>
      <c r="H254" s="112" t="s">
        <v>910</v>
      </c>
    </row>
    <row r="255" ht="14.25" customHeight="1">
      <c r="A255" s="112" t="s">
        <v>911</v>
      </c>
      <c r="B255" s="112" t="s">
        <v>907</v>
      </c>
      <c r="H255" s="112" t="s">
        <v>912</v>
      </c>
    </row>
    <row r="256" ht="14.25" customHeight="1">
      <c r="A256" s="112" t="s">
        <v>913</v>
      </c>
      <c r="B256" s="112" t="s">
        <v>907</v>
      </c>
      <c r="H256" s="112" t="s">
        <v>914</v>
      </c>
    </row>
    <row r="257" ht="14.25" customHeight="1">
      <c r="A257" s="112" t="s">
        <v>915</v>
      </c>
      <c r="B257" s="112" t="s">
        <v>907</v>
      </c>
      <c r="H257" s="112" t="s">
        <v>916</v>
      </c>
    </row>
    <row r="258" ht="14.25" customHeight="1">
      <c r="A258" s="112" t="s">
        <v>915</v>
      </c>
      <c r="B258" s="112" t="s">
        <v>907</v>
      </c>
      <c r="H258" s="112" t="s">
        <v>917</v>
      </c>
    </row>
    <row r="259" ht="14.25" customHeight="1">
      <c r="A259" s="112" t="s">
        <v>918</v>
      </c>
      <c r="B259" s="112" t="s">
        <v>907</v>
      </c>
      <c r="H259" s="112" t="s">
        <v>919</v>
      </c>
    </row>
    <row r="260" ht="14.25" customHeight="1">
      <c r="A260" s="112" t="s">
        <v>915</v>
      </c>
      <c r="B260" s="112" t="s">
        <v>907</v>
      </c>
      <c r="H260" s="112" t="s">
        <v>920</v>
      </c>
    </row>
    <row r="261" ht="14.25" customHeight="1">
      <c r="A261" s="112" t="s">
        <v>915</v>
      </c>
      <c r="B261" s="112" t="s">
        <v>907</v>
      </c>
      <c r="H261" s="112" t="s">
        <v>921</v>
      </c>
    </row>
    <row r="262" ht="14.25" customHeight="1">
      <c r="A262" s="112" t="s">
        <v>922</v>
      </c>
      <c r="B262" s="112" t="s">
        <v>907</v>
      </c>
      <c r="H262" s="112" t="s">
        <v>923</v>
      </c>
    </row>
    <row r="263" ht="14.25" customHeight="1">
      <c r="A263" s="112" t="s">
        <v>924</v>
      </c>
      <c r="B263" s="112" t="s">
        <v>907</v>
      </c>
      <c r="H263" s="112" t="s">
        <v>925</v>
      </c>
    </row>
    <row r="264" ht="14.25" customHeight="1">
      <c r="A264" s="112" t="s">
        <v>926</v>
      </c>
      <c r="B264" s="112" t="s">
        <v>907</v>
      </c>
      <c r="H264" s="112" t="s">
        <v>927</v>
      </c>
    </row>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2:D77">
      <formula1>#REF!</formula1>
    </dataValidation>
    <dataValidation type="list" allowBlank="1" showErrorMessage="1" sqref="E2:E77">
      <formula1>'Hydro Plant Data'!$A$2:$A$92</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2" width="25.0"/>
    <col customWidth="1" min="3" max="26" width="8.71"/>
  </cols>
  <sheetData>
    <row r="1" ht="14.25" customHeight="1">
      <c r="A1" s="114" t="s">
        <v>928</v>
      </c>
      <c r="B1" s="114" t="s">
        <v>929</v>
      </c>
    </row>
    <row r="2" ht="14.25" customHeight="1">
      <c r="A2" s="115" t="s">
        <v>98</v>
      </c>
      <c r="B2" s="115" t="s">
        <v>98</v>
      </c>
    </row>
    <row r="3" ht="14.25" customHeight="1">
      <c r="A3" s="115" t="s">
        <v>457</v>
      </c>
      <c r="B3" s="115" t="s">
        <v>930</v>
      </c>
    </row>
    <row r="4" ht="14.25" customHeight="1">
      <c r="A4" s="115" t="s">
        <v>118</v>
      </c>
      <c r="B4" s="115" t="s">
        <v>118</v>
      </c>
    </row>
    <row r="5" ht="14.25" customHeight="1">
      <c r="A5" s="115" t="s">
        <v>461</v>
      </c>
      <c r="B5" s="115" t="s">
        <v>931</v>
      </c>
    </row>
    <row r="6" ht="14.25" customHeight="1">
      <c r="A6" s="115" t="s">
        <v>459</v>
      </c>
      <c r="B6" s="115" t="s">
        <v>932</v>
      </c>
    </row>
    <row r="7" ht="14.25" customHeight="1">
      <c r="A7" s="115" t="s">
        <v>531</v>
      </c>
      <c r="B7" s="115" t="s">
        <v>933</v>
      </c>
    </row>
    <row r="8" ht="14.25" customHeight="1">
      <c r="A8" s="115" t="s">
        <v>466</v>
      </c>
      <c r="B8" s="115" t="s">
        <v>466</v>
      </c>
    </row>
    <row r="9" ht="14.25" customHeight="1">
      <c r="A9" s="115" t="s">
        <v>266</v>
      </c>
      <c r="B9" s="115" t="s">
        <v>266</v>
      </c>
    </row>
    <row r="10" ht="14.25" customHeight="1">
      <c r="A10" s="115" t="s">
        <v>408</v>
      </c>
      <c r="B10" s="115" t="s">
        <v>408</v>
      </c>
    </row>
    <row r="11" ht="14.25" customHeight="1">
      <c r="A11" s="115" t="s">
        <v>934</v>
      </c>
      <c r="B11" s="115" t="s">
        <v>934</v>
      </c>
    </row>
    <row r="12" ht="14.25" customHeight="1">
      <c r="A12" s="115" t="s">
        <v>470</v>
      </c>
      <c r="B12" s="115" t="s">
        <v>470</v>
      </c>
    </row>
    <row r="13" ht="14.25" customHeight="1">
      <c r="A13" s="115" t="s">
        <v>935</v>
      </c>
      <c r="B13" s="115" t="s">
        <v>935</v>
      </c>
    </row>
    <row r="14" ht="14.25" customHeight="1">
      <c r="A14" s="115" t="s">
        <v>417</v>
      </c>
      <c r="B14" s="115" t="s">
        <v>417</v>
      </c>
    </row>
    <row r="15" ht="14.25" customHeight="1">
      <c r="A15" s="115" t="s">
        <v>936</v>
      </c>
      <c r="B15" s="115" t="s">
        <v>936</v>
      </c>
    </row>
    <row r="16" ht="14.25" customHeight="1">
      <c r="A16" s="115" t="s">
        <v>937</v>
      </c>
      <c r="B16" s="115" t="s">
        <v>937</v>
      </c>
    </row>
    <row r="17" ht="14.25" customHeight="1">
      <c r="A17" s="115" t="s">
        <v>389</v>
      </c>
      <c r="B17" s="115" t="s">
        <v>389</v>
      </c>
    </row>
    <row r="18" ht="14.25" customHeight="1">
      <c r="A18" s="115" t="s">
        <v>386</v>
      </c>
      <c r="B18" s="115" t="s">
        <v>386</v>
      </c>
    </row>
    <row r="19" ht="14.25" customHeight="1">
      <c r="A19" s="115" t="s">
        <v>421</v>
      </c>
      <c r="B19" s="115" t="s">
        <v>421</v>
      </c>
    </row>
    <row r="20" ht="14.25" customHeight="1">
      <c r="A20" s="115" t="s">
        <v>475</v>
      </c>
      <c r="B20" s="115" t="s">
        <v>51</v>
      </c>
    </row>
    <row r="21" ht="14.25" customHeight="1">
      <c r="A21" s="115" t="s">
        <v>477</v>
      </c>
      <c r="B21" s="115" t="s">
        <v>56</v>
      </c>
    </row>
    <row r="22" ht="14.25" customHeight="1">
      <c r="A22" s="115" t="s">
        <v>479</v>
      </c>
      <c r="B22" s="115" t="s">
        <v>59</v>
      </c>
    </row>
    <row r="23" ht="14.25" customHeight="1">
      <c r="A23" s="115" t="s">
        <v>382</v>
      </c>
      <c r="B23" s="115" t="s">
        <v>382</v>
      </c>
    </row>
    <row r="24" ht="14.25" customHeight="1">
      <c r="A24" s="115" t="s">
        <v>327</v>
      </c>
      <c r="B24" s="115" t="s">
        <v>327</v>
      </c>
    </row>
    <row r="25" ht="14.25" customHeight="1">
      <c r="A25" s="115" t="s">
        <v>483</v>
      </c>
      <c r="B25" s="115" t="s">
        <v>483</v>
      </c>
    </row>
    <row r="26" ht="14.25" customHeight="1">
      <c r="A26" s="115" t="s">
        <v>485</v>
      </c>
      <c r="B26" s="115" t="s">
        <v>485</v>
      </c>
    </row>
    <row r="27" ht="14.25" customHeight="1">
      <c r="A27" s="115" t="s">
        <v>278</v>
      </c>
      <c r="B27" s="115" t="s">
        <v>278</v>
      </c>
    </row>
    <row r="28" ht="14.25" customHeight="1">
      <c r="A28" s="115" t="s">
        <v>285</v>
      </c>
      <c r="B28" s="115" t="s">
        <v>285</v>
      </c>
    </row>
    <row r="29" ht="14.25" customHeight="1">
      <c r="A29" s="115" t="s">
        <v>938</v>
      </c>
      <c r="B29" s="115" t="s">
        <v>938</v>
      </c>
    </row>
    <row r="30" ht="14.25" customHeight="1">
      <c r="A30" s="115" t="s">
        <v>366</v>
      </c>
      <c r="B30" s="115" t="s">
        <v>366</v>
      </c>
    </row>
    <row r="31" ht="14.25" customHeight="1">
      <c r="A31" s="115" t="s">
        <v>273</v>
      </c>
      <c r="B31" s="115" t="s">
        <v>273</v>
      </c>
    </row>
    <row r="32" ht="14.25" customHeight="1">
      <c r="A32" s="115" t="s">
        <v>222</v>
      </c>
      <c r="B32" s="115" t="s">
        <v>222</v>
      </c>
    </row>
    <row r="33" ht="14.25" customHeight="1">
      <c r="A33" s="115" t="s">
        <v>235</v>
      </c>
      <c r="B33" s="115" t="s">
        <v>235</v>
      </c>
    </row>
    <row r="34" ht="14.25" customHeight="1">
      <c r="A34" s="115" t="s">
        <v>230</v>
      </c>
      <c r="B34" s="115" t="s">
        <v>230</v>
      </c>
    </row>
    <row r="35" ht="14.25" customHeight="1">
      <c r="A35" s="115" t="s">
        <v>214</v>
      </c>
      <c r="B35" s="115" t="s">
        <v>214</v>
      </c>
    </row>
    <row r="36" ht="14.25" customHeight="1">
      <c r="A36" s="115" t="s">
        <v>312</v>
      </c>
      <c r="B36" s="115" t="s">
        <v>312</v>
      </c>
    </row>
    <row r="37" ht="14.25" customHeight="1">
      <c r="A37" s="115" t="s">
        <v>939</v>
      </c>
      <c r="B37" s="115" t="s">
        <v>939</v>
      </c>
    </row>
    <row r="38" ht="14.25" customHeight="1">
      <c r="A38" s="115" t="s">
        <v>295</v>
      </c>
      <c r="B38" s="115" t="s">
        <v>295</v>
      </c>
    </row>
    <row r="39" ht="14.25" customHeight="1">
      <c r="A39" s="115" t="s">
        <v>940</v>
      </c>
      <c r="B39" s="115" t="s">
        <v>940</v>
      </c>
    </row>
    <row r="40" ht="14.25" customHeight="1">
      <c r="A40" s="115" t="s">
        <v>364</v>
      </c>
      <c r="B40" s="115" t="s">
        <v>364</v>
      </c>
    </row>
    <row r="41" ht="14.25" customHeight="1">
      <c r="A41" s="115" t="s">
        <v>362</v>
      </c>
      <c r="B41" s="115" t="s">
        <v>362</v>
      </c>
    </row>
    <row r="42" ht="14.25" customHeight="1">
      <c r="A42" s="115" t="s">
        <v>359</v>
      </c>
      <c r="B42" s="115" t="s">
        <v>359</v>
      </c>
    </row>
    <row r="43" ht="14.25" customHeight="1">
      <c r="A43" s="115" t="s">
        <v>356</v>
      </c>
      <c r="B43" s="115" t="s">
        <v>356</v>
      </c>
    </row>
    <row r="44" ht="14.25" customHeight="1">
      <c r="A44" s="115" t="s">
        <v>354</v>
      </c>
      <c r="B44" s="115" t="s">
        <v>354</v>
      </c>
    </row>
    <row r="45" ht="14.25" customHeight="1">
      <c r="A45" s="115" t="s">
        <v>352</v>
      </c>
      <c r="B45" s="115" t="s">
        <v>352</v>
      </c>
    </row>
    <row r="46" ht="14.25" customHeight="1">
      <c r="A46" s="115" t="s">
        <v>349</v>
      </c>
      <c r="B46" s="115" t="s">
        <v>349</v>
      </c>
    </row>
    <row r="47" ht="14.25" customHeight="1">
      <c r="A47" s="115" t="s">
        <v>424</v>
      </c>
      <c r="B47" s="115" t="s">
        <v>424</v>
      </c>
    </row>
    <row r="48" ht="14.25" customHeight="1">
      <c r="A48" s="115" t="s">
        <v>45</v>
      </c>
      <c r="B48" s="115" t="s">
        <v>45</v>
      </c>
    </row>
    <row r="49" ht="14.25" customHeight="1">
      <c r="A49" s="115" t="s">
        <v>37</v>
      </c>
      <c r="B49" s="115" t="s">
        <v>37</v>
      </c>
    </row>
    <row r="50" ht="14.25" customHeight="1">
      <c r="A50" s="115" t="s">
        <v>512</v>
      </c>
      <c r="B50" s="115" t="s">
        <v>512</v>
      </c>
    </row>
    <row r="51" ht="14.25" customHeight="1">
      <c r="A51" s="115" t="s">
        <v>164</v>
      </c>
      <c r="B51" s="115" t="s">
        <v>164</v>
      </c>
    </row>
    <row r="52" ht="14.25" customHeight="1">
      <c r="A52" s="115" t="s">
        <v>514</v>
      </c>
      <c r="B52" s="115" t="s">
        <v>514</v>
      </c>
    </row>
    <row r="53" ht="14.25" customHeight="1">
      <c r="A53" s="115" t="s">
        <v>191</v>
      </c>
      <c r="B53" s="115" t="s">
        <v>191</v>
      </c>
    </row>
    <row r="54" ht="14.25" customHeight="1">
      <c r="A54" s="115" t="s">
        <v>200</v>
      </c>
      <c r="B54" s="115" t="s">
        <v>200</v>
      </c>
    </row>
    <row r="55" ht="14.25" customHeight="1">
      <c r="A55" s="115" t="s">
        <v>425</v>
      </c>
      <c r="B55" s="115" t="s">
        <v>425</v>
      </c>
    </row>
    <row r="56" ht="14.25" customHeight="1">
      <c r="A56" s="115" t="s">
        <v>206</v>
      </c>
      <c r="B56" s="115" t="s">
        <v>206</v>
      </c>
    </row>
    <row r="57" ht="14.25" customHeight="1">
      <c r="A57" s="115" t="s">
        <v>206</v>
      </c>
      <c r="B57" s="115" t="s">
        <v>206</v>
      </c>
    </row>
    <row r="58" ht="14.25" customHeight="1">
      <c r="A58" s="115" t="s">
        <v>317</v>
      </c>
      <c r="B58" s="115" t="s">
        <v>317</v>
      </c>
    </row>
    <row r="59" ht="14.25" customHeight="1">
      <c r="A59" s="115" t="s">
        <v>340</v>
      </c>
      <c r="B59" s="115" t="s">
        <v>340</v>
      </c>
    </row>
    <row r="60" ht="14.25" customHeight="1">
      <c r="A60" s="115" t="s">
        <v>336</v>
      </c>
      <c r="B60" s="115" t="s">
        <v>336</v>
      </c>
    </row>
    <row r="61" ht="14.25" customHeight="1">
      <c r="A61" s="115" t="s">
        <v>48</v>
      </c>
      <c r="B61" s="115" t="s">
        <v>48</v>
      </c>
    </row>
    <row r="62" ht="14.25" customHeight="1">
      <c r="A62" s="115" t="s">
        <v>138</v>
      </c>
      <c r="B62" s="115" t="s">
        <v>138</v>
      </c>
    </row>
    <row r="63" ht="14.25" customHeight="1">
      <c r="A63" s="115" t="s">
        <v>430</v>
      </c>
      <c r="B63" s="115" t="s">
        <v>430</v>
      </c>
    </row>
    <row r="64" ht="14.25" customHeight="1">
      <c r="A64" s="115" t="s">
        <v>431</v>
      </c>
      <c r="B64" s="115" t="s">
        <v>431</v>
      </c>
    </row>
    <row r="65" ht="14.25" customHeight="1">
      <c r="A65" s="115" t="s">
        <v>527</v>
      </c>
      <c r="B65" s="115" t="s">
        <v>527</v>
      </c>
    </row>
    <row r="66" ht="14.25" customHeight="1">
      <c r="A66" s="115" t="s">
        <v>941</v>
      </c>
      <c r="B66" s="115" t="s">
        <v>941</v>
      </c>
    </row>
    <row r="67" ht="14.25" customHeight="1">
      <c r="A67" s="115" t="s">
        <v>942</v>
      </c>
      <c r="B67" s="115" t="s">
        <v>942</v>
      </c>
    </row>
    <row r="68" ht="14.25" customHeight="1">
      <c r="A68" s="115" t="s">
        <v>943</v>
      </c>
      <c r="B68" s="115" t="s">
        <v>943</v>
      </c>
    </row>
    <row r="69" ht="14.25" customHeight="1">
      <c r="A69" s="115" t="s">
        <v>944</v>
      </c>
      <c r="B69" s="115" t="s">
        <v>944</v>
      </c>
    </row>
    <row r="70" ht="14.25" customHeight="1">
      <c r="A70" s="115" t="s">
        <v>945</v>
      </c>
      <c r="B70" s="115" t="s">
        <v>945</v>
      </c>
    </row>
    <row r="71" ht="14.25" customHeight="1">
      <c r="A71" s="115" t="s">
        <v>946</v>
      </c>
      <c r="B71" s="115" t="s">
        <v>946</v>
      </c>
    </row>
    <row r="72" ht="14.25" customHeight="1">
      <c r="A72" s="115" t="s">
        <v>947</v>
      </c>
      <c r="B72" s="115" t="s">
        <v>947</v>
      </c>
    </row>
    <row r="73" ht="14.25" customHeight="1">
      <c r="A73" s="115" t="s">
        <v>948</v>
      </c>
      <c r="B73" s="115" t="s">
        <v>948</v>
      </c>
    </row>
    <row r="74" ht="14.25" customHeight="1">
      <c r="A74" s="115" t="s">
        <v>949</v>
      </c>
      <c r="B74" s="115" t="s">
        <v>949</v>
      </c>
    </row>
    <row r="75" ht="14.25" customHeight="1">
      <c r="A75" s="115" t="s">
        <v>950</v>
      </c>
      <c r="B75" s="115" t="s">
        <v>950</v>
      </c>
    </row>
    <row r="76" ht="14.25" customHeight="1">
      <c r="A76" s="115" t="s">
        <v>124</v>
      </c>
      <c r="B76" s="115" t="s">
        <v>124</v>
      </c>
    </row>
    <row r="77" ht="14.25" customHeight="1">
      <c r="A77" s="115" t="s">
        <v>951</v>
      </c>
      <c r="B77" s="115" t="s">
        <v>951</v>
      </c>
    </row>
    <row r="78" ht="14.25" customHeight="1">
      <c r="A78" s="115" t="s">
        <v>952</v>
      </c>
      <c r="B78" s="115" t="s">
        <v>952</v>
      </c>
    </row>
    <row r="79" ht="14.25" customHeight="1">
      <c r="A79" s="115" t="s">
        <v>953</v>
      </c>
      <c r="B79" s="115" t="s">
        <v>953</v>
      </c>
    </row>
    <row r="80" ht="14.25" customHeight="1">
      <c r="A80" s="115" t="s">
        <v>954</v>
      </c>
      <c r="B80" s="115" t="s">
        <v>954</v>
      </c>
    </row>
    <row r="81" ht="14.25" customHeight="1">
      <c r="A81" s="115" t="s">
        <v>102</v>
      </c>
      <c r="B81" s="115" t="s">
        <v>102</v>
      </c>
    </row>
    <row r="82" ht="14.25" customHeight="1">
      <c r="A82" s="115" t="s">
        <v>207</v>
      </c>
      <c r="B82" s="115" t="s">
        <v>207</v>
      </c>
    </row>
    <row r="83" ht="14.25" customHeight="1">
      <c r="A83" s="115" t="s">
        <v>535</v>
      </c>
      <c r="B83" s="115" t="s">
        <v>535</v>
      </c>
    </row>
    <row r="84" ht="14.25" customHeight="1">
      <c r="A84" s="115" t="s">
        <v>62</v>
      </c>
      <c r="B84" s="115" t="s">
        <v>62</v>
      </c>
    </row>
    <row r="85" ht="14.25" customHeight="1">
      <c r="A85" s="115" t="s">
        <v>553</v>
      </c>
      <c r="B85" s="115" t="s">
        <v>92</v>
      </c>
    </row>
    <row r="86" ht="14.25" customHeight="1">
      <c r="A86" s="115" t="s">
        <v>134</v>
      </c>
      <c r="B86" s="115" t="s">
        <v>134</v>
      </c>
    </row>
    <row r="87" ht="14.25" customHeight="1">
      <c r="A87" s="115" t="s">
        <v>537</v>
      </c>
      <c r="B87" s="115" t="s">
        <v>955</v>
      </c>
    </row>
    <row r="88" ht="14.25" customHeight="1">
      <c r="A88" s="115" t="s">
        <v>544</v>
      </c>
      <c r="B88" s="115" t="s">
        <v>544</v>
      </c>
    </row>
    <row r="89" ht="14.25" customHeight="1">
      <c r="A89" s="115" t="s">
        <v>555</v>
      </c>
      <c r="B89" s="115" t="s">
        <v>956</v>
      </c>
    </row>
    <row r="90" ht="14.25" customHeight="1">
      <c r="A90" s="115" t="s">
        <v>547</v>
      </c>
      <c r="B90" s="115" t="s">
        <v>547</v>
      </c>
    </row>
    <row r="91" ht="14.25" customHeight="1">
      <c r="A91" s="115" t="s">
        <v>549</v>
      </c>
      <c r="B91" s="115" t="s">
        <v>549</v>
      </c>
    </row>
    <row r="92" ht="14.25" customHeight="1">
      <c r="A92" s="115" t="s">
        <v>551</v>
      </c>
      <c r="B92" s="115" t="s">
        <v>551</v>
      </c>
    </row>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6" width="8.71"/>
  </cols>
  <sheetData>
    <row r="1" ht="14.25" customHeight="1">
      <c r="A1" s="112" t="s">
        <v>957</v>
      </c>
    </row>
    <row r="2" ht="14.25" customHeight="1">
      <c r="A2" s="112" t="s">
        <v>958</v>
      </c>
      <c r="B2" s="112" t="b">
        <f t="shared" ref="B2:B71" si="1">A1=A2</f>
        <v>0</v>
      </c>
    </row>
    <row r="3" ht="14.25" customHeight="1">
      <c r="A3" s="112" t="s">
        <v>959</v>
      </c>
      <c r="B3" s="112" t="b">
        <f t="shared" si="1"/>
        <v>0</v>
      </c>
    </row>
    <row r="4" ht="14.25" customHeight="1">
      <c r="A4" s="112" t="s">
        <v>960</v>
      </c>
      <c r="B4" s="112" t="b">
        <f t="shared" si="1"/>
        <v>0</v>
      </c>
    </row>
    <row r="5" ht="14.25" customHeight="1">
      <c r="A5" s="112" t="s">
        <v>961</v>
      </c>
      <c r="B5" s="112" t="b">
        <f t="shared" si="1"/>
        <v>0</v>
      </c>
    </row>
    <row r="6" ht="14.25" customHeight="1">
      <c r="A6" s="112" t="s">
        <v>962</v>
      </c>
      <c r="B6" s="112" t="b">
        <f t="shared" si="1"/>
        <v>0</v>
      </c>
    </row>
    <row r="7" ht="14.25" customHeight="1">
      <c r="A7" s="112" t="s">
        <v>963</v>
      </c>
      <c r="B7" s="112" t="b">
        <f t="shared" si="1"/>
        <v>0</v>
      </c>
    </row>
    <row r="8" ht="14.25" customHeight="1">
      <c r="A8" s="112" t="s">
        <v>964</v>
      </c>
      <c r="B8" s="112" t="b">
        <f t="shared" si="1"/>
        <v>0</v>
      </c>
    </row>
    <row r="9" ht="14.25" customHeight="1">
      <c r="A9" s="112" t="s">
        <v>965</v>
      </c>
      <c r="B9" s="112" t="b">
        <f t="shared" si="1"/>
        <v>0</v>
      </c>
    </row>
    <row r="10" ht="14.25" customHeight="1">
      <c r="A10" s="112" t="s">
        <v>966</v>
      </c>
      <c r="B10" s="112" t="b">
        <f t="shared" si="1"/>
        <v>0</v>
      </c>
    </row>
    <row r="11" ht="14.25" customHeight="1">
      <c r="A11" s="112" t="s">
        <v>967</v>
      </c>
      <c r="B11" s="112" t="b">
        <f t="shared" si="1"/>
        <v>0</v>
      </c>
    </row>
    <row r="12" ht="14.25" customHeight="1">
      <c r="A12" s="112" t="s">
        <v>968</v>
      </c>
      <c r="B12" s="112" t="b">
        <f t="shared" si="1"/>
        <v>0</v>
      </c>
    </row>
    <row r="13" ht="14.25" customHeight="1">
      <c r="A13" s="112" t="s">
        <v>969</v>
      </c>
      <c r="B13" s="112" t="b">
        <f t="shared" si="1"/>
        <v>0</v>
      </c>
    </row>
    <row r="14" ht="14.25" customHeight="1">
      <c r="A14" s="112" t="s">
        <v>970</v>
      </c>
      <c r="B14" s="112" t="b">
        <f t="shared" si="1"/>
        <v>0</v>
      </c>
    </row>
    <row r="15" ht="14.25" customHeight="1">
      <c r="A15" s="112" t="s">
        <v>971</v>
      </c>
      <c r="B15" s="112" t="b">
        <f t="shared" si="1"/>
        <v>0</v>
      </c>
    </row>
    <row r="16" ht="14.25" customHeight="1">
      <c r="A16" s="112" t="s">
        <v>972</v>
      </c>
      <c r="B16" s="112" t="b">
        <f t="shared" si="1"/>
        <v>0</v>
      </c>
    </row>
    <row r="17" ht="14.25" customHeight="1">
      <c r="A17" s="112" t="s">
        <v>973</v>
      </c>
      <c r="B17" s="112" t="b">
        <f t="shared" si="1"/>
        <v>0</v>
      </c>
    </row>
    <row r="18" ht="14.25" customHeight="1">
      <c r="A18" s="112" t="s">
        <v>974</v>
      </c>
      <c r="B18" s="112" t="b">
        <f t="shared" si="1"/>
        <v>0</v>
      </c>
    </row>
    <row r="19" ht="14.25" customHeight="1">
      <c r="A19" s="112" t="s">
        <v>975</v>
      </c>
      <c r="B19" s="112" t="b">
        <f t="shared" si="1"/>
        <v>0</v>
      </c>
    </row>
    <row r="20" ht="14.25" customHeight="1">
      <c r="A20" s="112" t="s">
        <v>976</v>
      </c>
      <c r="B20" s="112" t="b">
        <f t="shared" si="1"/>
        <v>0</v>
      </c>
    </row>
    <row r="21" ht="14.25" customHeight="1">
      <c r="A21" s="112" t="s">
        <v>977</v>
      </c>
      <c r="B21" s="112" t="b">
        <f t="shared" si="1"/>
        <v>0</v>
      </c>
    </row>
    <row r="22" ht="14.25" customHeight="1">
      <c r="A22" s="112" t="s">
        <v>978</v>
      </c>
      <c r="B22" s="112" t="b">
        <f t="shared" si="1"/>
        <v>0</v>
      </c>
    </row>
    <row r="23" ht="14.25" customHeight="1">
      <c r="A23" s="112" t="s">
        <v>979</v>
      </c>
      <c r="B23" s="112" t="b">
        <f t="shared" si="1"/>
        <v>0</v>
      </c>
    </row>
    <row r="24" ht="14.25" customHeight="1">
      <c r="A24" s="112" t="s">
        <v>980</v>
      </c>
      <c r="B24" s="112" t="b">
        <f t="shared" si="1"/>
        <v>0</v>
      </c>
    </row>
    <row r="25" ht="14.25" customHeight="1">
      <c r="A25" s="112" t="s">
        <v>981</v>
      </c>
      <c r="B25" s="112" t="b">
        <f t="shared" si="1"/>
        <v>0</v>
      </c>
    </row>
    <row r="26" ht="14.25" customHeight="1">
      <c r="A26" s="112" t="s">
        <v>982</v>
      </c>
      <c r="B26" s="112" t="b">
        <f t="shared" si="1"/>
        <v>0</v>
      </c>
    </row>
    <row r="27" ht="14.25" customHeight="1">
      <c r="A27" s="112" t="s">
        <v>983</v>
      </c>
      <c r="B27" s="112" t="b">
        <f t="shared" si="1"/>
        <v>0</v>
      </c>
    </row>
    <row r="28" ht="14.25" customHeight="1">
      <c r="A28" s="112" t="s">
        <v>984</v>
      </c>
      <c r="B28" s="112" t="b">
        <f t="shared" si="1"/>
        <v>0</v>
      </c>
    </row>
    <row r="29" ht="14.25" customHeight="1">
      <c r="A29" s="112" t="s">
        <v>985</v>
      </c>
      <c r="B29" s="112" t="b">
        <f t="shared" si="1"/>
        <v>0</v>
      </c>
    </row>
    <row r="30" ht="14.25" customHeight="1">
      <c r="A30" s="112" t="s">
        <v>986</v>
      </c>
      <c r="B30" s="112" t="b">
        <f t="shared" si="1"/>
        <v>0</v>
      </c>
    </row>
    <row r="31" ht="14.25" customHeight="1">
      <c r="A31" s="112" t="s">
        <v>987</v>
      </c>
      <c r="B31" s="112" t="b">
        <f t="shared" si="1"/>
        <v>0</v>
      </c>
    </row>
    <row r="32" ht="14.25" customHeight="1">
      <c r="A32" s="112" t="s">
        <v>988</v>
      </c>
      <c r="B32" s="112" t="b">
        <f t="shared" si="1"/>
        <v>0</v>
      </c>
    </row>
    <row r="33" ht="14.25" customHeight="1">
      <c r="A33" s="112" t="s">
        <v>989</v>
      </c>
      <c r="B33" s="112" t="b">
        <f t="shared" si="1"/>
        <v>0</v>
      </c>
    </row>
    <row r="34" ht="14.25" customHeight="1">
      <c r="A34" s="112" t="s">
        <v>989</v>
      </c>
      <c r="B34" s="112" t="b">
        <f t="shared" si="1"/>
        <v>1</v>
      </c>
    </row>
    <row r="35" ht="14.25" customHeight="1">
      <c r="A35" s="112" t="s">
        <v>990</v>
      </c>
      <c r="B35" s="112" t="b">
        <f t="shared" si="1"/>
        <v>0</v>
      </c>
    </row>
    <row r="36" ht="14.25" customHeight="1">
      <c r="A36" s="112" t="s">
        <v>991</v>
      </c>
      <c r="B36" s="112" t="b">
        <f t="shared" si="1"/>
        <v>0</v>
      </c>
    </row>
    <row r="37" ht="14.25" customHeight="1">
      <c r="A37" s="112" t="s">
        <v>992</v>
      </c>
      <c r="B37" s="112" t="b">
        <f t="shared" si="1"/>
        <v>0</v>
      </c>
    </row>
    <row r="38" ht="14.25" customHeight="1">
      <c r="A38" s="112" t="s">
        <v>993</v>
      </c>
      <c r="B38" s="112" t="b">
        <f t="shared" si="1"/>
        <v>0</v>
      </c>
    </row>
    <row r="39" ht="14.25" customHeight="1">
      <c r="A39" s="112" t="s">
        <v>994</v>
      </c>
      <c r="B39" s="112" t="b">
        <f t="shared" si="1"/>
        <v>0</v>
      </c>
    </row>
    <row r="40" ht="14.25" customHeight="1">
      <c r="A40" s="112" t="s">
        <v>995</v>
      </c>
      <c r="B40" s="112" t="b">
        <f t="shared" si="1"/>
        <v>0</v>
      </c>
    </row>
    <row r="41" ht="14.25" customHeight="1">
      <c r="A41" s="112" t="s">
        <v>996</v>
      </c>
      <c r="B41" s="112" t="b">
        <f t="shared" si="1"/>
        <v>0</v>
      </c>
    </row>
    <row r="42" ht="14.25" customHeight="1">
      <c r="A42" s="112" t="s">
        <v>997</v>
      </c>
      <c r="B42" s="112" t="b">
        <f t="shared" si="1"/>
        <v>0</v>
      </c>
    </row>
    <row r="43" ht="14.25" customHeight="1">
      <c r="A43" s="112" t="s">
        <v>998</v>
      </c>
      <c r="B43" s="112" t="b">
        <f t="shared" si="1"/>
        <v>0</v>
      </c>
    </row>
    <row r="44" ht="14.25" customHeight="1">
      <c r="A44" s="112" t="s">
        <v>999</v>
      </c>
      <c r="B44" s="112" t="b">
        <f t="shared" si="1"/>
        <v>0</v>
      </c>
    </row>
    <row r="45" ht="14.25" customHeight="1">
      <c r="A45" s="112" t="s">
        <v>1000</v>
      </c>
      <c r="B45" s="112" t="b">
        <f t="shared" si="1"/>
        <v>0</v>
      </c>
    </row>
    <row r="46" ht="14.25" customHeight="1">
      <c r="A46" s="112" t="s">
        <v>1001</v>
      </c>
      <c r="B46" s="112" t="b">
        <f t="shared" si="1"/>
        <v>0</v>
      </c>
    </row>
    <row r="47" ht="14.25" customHeight="1">
      <c r="A47" s="112" t="s">
        <v>1002</v>
      </c>
      <c r="B47" s="112" t="b">
        <f t="shared" si="1"/>
        <v>0</v>
      </c>
    </row>
    <row r="48" ht="14.25" customHeight="1">
      <c r="A48" s="112" t="s">
        <v>1003</v>
      </c>
      <c r="B48" s="112" t="b">
        <f t="shared" si="1"/>
        <v>0</v>
      </c>
    </row>
    <row r="49" ht="14.25" customHeight="1">
      <c r="A49" s="112" t="s">
        <v>1004</v>
      </c>
      <c r="B49" s="112" t="b">
        <f t="shared" si="1"/>
        <v>0</v>
      </c>
    </row>
    <row r="50" ht="14.25" customHeight="1">
      <c r="A50" s="112" t="s">
        <v>1005</v>
      </c>
      <c r="B50" s="112" t="b">
        <f t="shared" si="1"/>
        <v>0</v>
      </c>
    </row>
    <row r="51" ht="14.25" customHeight="1">
      <c r="A51" s="112" t="s">
        <v>1006</v>
      </c>
      <c r="B51" s="112" t="b">
        <f t="shared" si="1"/>
        <v>0</v>
      </c>
    </row>
    <row r="52" ht="14.25" customHeight="1">
      <c r="A52" s="112" t="s">
        <v>1007</v>
      </c>
      <c r="B52" s="112" t="b">
        <f t="shared" si="1"/>
        <v>0</v>
      </c>
    </row>
    <row r="53" ht="14.25" customHeight="1">
      <c r="A53" s="112" t="s">
        <v>1008</v>
      </c>
      <c r="B53" s="112" t="b">
        <f t="shared" si="1"/>
        <v>0</v>
      </c>
    </row>
    <row r="54" ht="14.25" customHeight="1">
      <c r="A54" s="112" t="s">
        <v>1009</v>
      </c>
      <c r="B54" s="112" t="b">
        <f t="shared" si="1"/>
        <v>0</v>
      </c>
    </row>
    <row r="55" ht="14.25" customHeight="1">
      <c r="A55" s="112" t="s">
        <v>1010</v>
      </c>
      <c r="B55" s="112" t="b">
        <f t="shared" si="1"/>
        <v>0</v>
      </c>
    </row>
    <row r="56" ht="14.25" customHeight="1">
      <c r="A56" s="112" t="s">
        <v>1011</v>
      </c>
      <c r="B56" s="112" t="b">
        <f t="shared" si="1"/>
        <v>0</v>
      </c>
    </row>
    <row r="57" ht="14.25" customHeight="1">
      <c r="A57" s="112" t="s">
        <v>1012</v>
      </c>
      <c r="B57" s="112" t="b">
        <f t="shared" si="1"/>
        <v>0</v>
      </c>
    </row>
    <row r="58" ht="14.25" customHeight="1">
      <c r="A58" s="112" t="s">
        <v>1013</v>
      </c>
      <c r="B58" s="112" t="b">
        <f t="shared" si="1"/>
        <v>0</v>
      </c>
    </row>
    <row r="59" ht="14.25" customHeight="1">
      <c r="A59" s="112" t="s">
        <v>1014</v>
      </c>
      <c r="B59" s="112" t="b">
        <f t="shared" si="1"/>
        <v>0</v>
      </c>
    </row>
    <row r="60" ht="14.25" customHeight="1">
      <c r="A60" s="112" t="s">
        <v>1015</v>
      </c>
      <c r="B60" s="112" t="b">
        <f t="shared" si="1"/>
        <v>0</v>
      </c>
    </row>
    <row r="61" ht="14.25" customHeight="1">
      <c r="A61" s="112" t="s">
        <v>1016</v>
      </c>
      <c r="B61" s="112" t="b">
        <f t="shared" si="1"/>
        <v>0</v>
      </c>
    </row>
    <row r="62" ht="14.25" customHeight="1">
      <c r="A62" s="112" t="s">
        <v>1017</v>
      </c>
      <c r="B62" s="112" t="b">
        <f t="shared" si="1"/>
        <v>0</v>
      </c>
    </row>
    <row r="63" ht="14.25" customHeight="1">
      <c r="A63" s="112" t="s">
        <v>1018</v>
      </c>
      <c r="B63" s="112" t="b">
        <f t="shared" si="1"/>
        <v>0</v>
      </c>
    </row>
    <row r="64" ht="14.25" customHeight="1">
      <c r="A64" s="112" t="s">
        <v>1019</v>
      </c>
      <c r="B64" s="112" t="b">
        <f t="shared" si="1"/>
        <v>0</v>
      </c>
    </row>
    <row r="65" ht="14.25" customHeight="1">
      <c r="A65" s="112" t="s">
        <v>1020</v>
      </c>
      <c r="B65" s="112" t="b">
        <f t="shared" si="1"/>
        <v>0</v>
      </c>
    </row>
    <row r="66" ht="14.25" customHeight="1">
      <c r="A66" s="112" t="s">
        <v>1021</v>
      </c>
      <c r="B66" s="112" t="b">
        <f t="shared" si="1"/>
        <v>0</v>
      </c>
    </row>
    <row r="67" ht="14.25" customHeight="1">
      <c r="A67" s="112" t="s">
        <v>1022</v>
      </c>
      <c r="B67" s="112" t="b">
        <f t="shared" si="1"/>
        <v>0</v>
      </c>
    </row>
    <row r="68" ht="14.25" customHeight="1">
      <c r="A68" s="112" t="s">
        <v>1023</v>
      </c>
      <c r="B68" s="112" t="b">
        <f t="shared" si="1"/>
        <v>0</v>
      </c>
    </row>
    <row r="69" ht="14.25" customHeight="1">
      <c r="A69" s="112" t="s">
        <v>1024</v>
      </c>
      <c r="B69" s="112" t="b">
        <f t="shared" si="1"/>
        <v>0</v>
      </c>
    </row>
    <row r="70" ht="14.25" customHeight="1">
      <c r="A70" s="112" t="s">
        <v>1025</v>
      </c>
      <c r="B70" s="112" t="b">
        <f t="shared" si="1"/>
        <v>0</v>
      </c>
    </row>
    <row r="71" ht="14.25" customHeight="1">
      <c r="A71" s="112" t="s">
        <v>1026</v>
      </c>
      <c r="B71" s="112" t="b">
        <f t="shared" si="1"/>
        <v>0</v>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A30:A31">
    <cfRule type="cellIs" dxfId="3" priority="1" operator="equal">
      <formula>"TRUE"</formula>
    </cfRule>
  </conditionalFormatting>
  <conditionalFormatting sqref="A35:A51">
    <cfRule type="cellIs" dxfId="3" priority="2" operator="equal">
      <formula>"TRUE"</formula>
    </cfRule>
  </conditionalFormatting>
  <conditionalFormatting sqref="A59:A71">
    <cfRule type="cellIs" dxfId="3" priority="3" operator="equal">
      <formula>"TRUE"</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8.71"/>
    <col customWidth="1" min="2" max="26" width="8.71"/>
  </cols>
  <sheetData>
    <row r="1" ht="14.25" customHeight="1">
      <c r="A1" s="112" t="s">
        <v>957</v>
      </c>
    </row>
    <row r="2" ht="14.25" customHeight="1">
      <c r="A2" s="112" t="s">
        <v>958</v>
      </c>
      <c r="B2" s="112" t="b">
        <f t="shared" ref="B2:B117" si="1">A2=A1</f>
        <v>0</v>
      </c>
    </row>
    <row r="3" ht="14.25" customHeight="1">
      <c r="A3" s="112" t="s">
        <v>959</v>
      </c>
      <c r="B3" s="112" t="b">
        <f t="shared" si="1"/>
        <v>0</v>
      </c>
    </row>
    <row r="4" ht="14.25" customHeight="1">
      <c r="A4" s="112" t="s">
        <v>960</v>
      </c>
      <c r="B4" s="112" t="b">
        <f t="shared" si="1"/>
        <v>0</v>
      </c>
    </row>
    <row r="5" ht="14.25" customHeight="1">
      <c r="A5" s="112" t="s">
        <v>961</v>
      </c>
      <c r="B5" s="112" t="b">
        <f t="shared" si="1"/>
        <v>0</v>
      </c>
    </row>
    <row r="6" ht="14.25" customHeight="1">
      <c r="A6" s="112" t="s">
        <v>962</v>
      </c>
      <c r="B6" s="112" t="b">
        <f t="shared" si="1"/>
        <v>0</v>
      </c>
    </row>
    <row r="7" ht="14.25" customHeight="1">
      <c r="A7" s="112" t="s">
        <v>963</v>
      </c>
      <c r="B7" s="112" t="b">
        <f t="shared" si="1"/>
        <v>0</v>
      </c>
    </row>
    <row r="8" ht="14.25" customHeight="1">
      <c r="A8" s="112" t="s">
        <v>964</v>
      </c>
      <c r="B8" s="112" t="b">
        <f t="shared" si="1"/>
        <v>0</v>
      </c>
    </row>
    <row r="9" ht="14.25" customHeight="1">
      <c r="A9" s="112" t="s">
        <v>1027</v>
      </c>
      <c r="B9" s="112" t="b">
        <f t="shared" si="1"/>
        <v>0</v>
      </c>
    </row>
    <row r="10" ht="14.25" customHeight="1">
      <c r="A10" s="112" t="s">
        <v>965</v>
      </c>
      <c r="B10" s="112" t="b">
        <f t="shared" si="1"/>
        <v>0</v>
      </c>
    </row>
    <row r="11" ht="14.25" customHeight="1">
      <c r="A11" s="112" t="s">
        <v>966</v>
      </c>
      <c r="B11" s="112" t="b">
        <f t="shared" si="1"/>
        <v>0</v>
      </c>
    </row>
    <row r="12" ht="14.25" customHeight="1">
      <c r="A12" s="112" t="s">
        <v>967</v>
      </c>
      <c r="B12" s="112" t="b">
        <f t="shared" si="1"/>
        <v>0</v>
      </c>
    </row>
    <row r="13" ht="14.25" customHeight="1">
      <c r="A13" s="112" t="s">
        <v>968</v>
      </c>
      <c r="B13" s="112" t="b">
        <f t="shared" si="1"/>
        <v>0</v>
      </c>
    </row>
    <row r="14" ht="14.25" customHeight="1">
      <c r="A14" s="112" t="s">
        <v>969</v>
      </c>
      <c r="B14" s="112" t="b">
        <f t="shared" si="1"/>
        <v>0</v>
      </c>
    </row>
    <row r="15" ht="14.25" customHeight="1">
      <c r="A15" s="112" t="s">
        <v>970</v>
      </c>
      <c r="B15" s="112" t="b">
        <f t="shared" si="1"/>
        <v>0</v>
      </c>
    </row>
    <row r="16" ht="14.25" customHeight="1">
      <c r="A16" s="112" t="s">
        <v>971</v>
      </c>
      <c r="B16" s="112" t="b">
        <f t="shared" si="1"/>
        <v>0</v>
      </c>
    </row>
    <row r="17" ht="14.25" customHeight="1">
      <c r="A17" s="112" t="s">
        <v>972</v>
      </c>
      <c r="B17" s="112" t="b">
        <f t="shared" si="1"/>
        <v>0</v>
      </c>
    </row>
    <row r="18" ht="14.25" customHeight="1">
      <c r="A18" s="112" t="s">
        <v>973</v>
      </c>
      <c r="B18" s="112" t="b">
        <f t="shared" si="1"/>
        <v>0</v>
      </c>
    </row>
    <row r="19" ht="14.25" customHeight="1">
      <c r="A19" s="112" t="s">
        <v>974</v>
      </c>
      <c r="B19" s="112" t="b">
        <f t="shared" si="1"/>
        <v>0</v>
      </c>
    </row>
    <row r="20" ht="14.25" customHeight="1">
      <c r="A20" s="112" t="s">
        <v>975</v>
      </c>
      <c r="B20" s="112" t="b">
        <f t="shared" si="1"/>
        <v>0</v>
      </c>
    </row>
    <row r="21" ht="14.25" customHeight="1">
      <c r="A21" s="112" t="s">
        <v>976</v>
      </c>
      <c r="B21" s="112" t="b">
        <f t="shared" si="1"/>
        <v>0</v>
      </c>
    </row>
    <row r="22" ht="14.25" customHeight="1">
      <c r="A22" s="112" t="s">
        <v>977</v>
      </c>
      <c r="B22" s="112" t="b">
        <f t="shared" si="1"/>
        <v>0</v>
      </c>
    </row>
    <row r="23" ht="14.25" customHeight="1">
      <c r="A23" s="112" t="s">
        <v>978</v>
      </c>
      <c r="B23" s="112" t="b">
        <f t="shared" si="1"/>
        <v>0</v>
      </c>
    </row>
    <row r="24" ht="14.25" customHeight="1">
      <c r="A24" s="112" t="s">
        <v>979</v>
      </c>
      <c r="B24" s="112" t="b">
        <f t="shared" si="1"/>
        <v>0</v>
      </c>
    </row>
    <row r="25" ht="14.25" customHeight="1">
      <c r="A25" s="112" t="s">
        <v>980</v>
      </c>
      <c r="B25" s="112" t="b">
        <f t="shared" si="1"/>
        <v>0</v>
      </c>
    </row>
    <row r="26" ht="14.25" customHeight="1">
      <c r="A26" s="112" t="s">
        <v>981</v>
      </c>
      <c r="B26" s="112" t="b">
        <f t="shared" si="1"/>
        <v>0</v>
      </c>
    </row>
    <row r="27" ht="14.25" customHeight="1">
      <c r="A27" s="112" t="s">
        <v>982</v>
      </c>
      <c r="B27" s="112" t="b">
        <f t="shared" si="1"/>
        <v>0</v>
      </c>
    </row>
    <row r="28" ht="14.25" customHeight="1">
      <c r="A28" s="112" t="s">
        <v>983</v>
      </c>
      <c r="B28" s="112" t="b">
        <f t="shared" si="1"/>
        <v>0</v>
      </c>
    </row>
    <row r="29" ht="14.25" customHeight="1">
      <c r="A29" s="112" t="s">
        <v>984</v>
      </c>
      <c r="B29" s="112" t="b">
        <f t="shared" si="1"/>
        <v>0</v>
      </c>
    </row>
    <row r="30" ht="14.25" customHeight="1">
      <c r="A30" s="112" t="s">
        <v>985</v>
      </c>
      <c r="B30" s="112" t="b">
        <f t="shared" si="1"/>
        <v>0</v>
      </c>
    </row>
    <row r="31" ht="14.25" customHeight="1">
      <c r="A31" s="112" t="s">
        <v>986</v>
      </c>
      <c r="B31" s="112" t="b">
        <f t="shared" si="1"/>
        <v>0</v>
      </c>
    </row>
    <row r="32" ht="14.25" customHeight="1">
      <c r="A32" s="112" t="s">
        <v>987</v>
      </c>
      <c r="B32" s="112" t="b">
        <f t="shared" si="1"/>
        <v>0</v>
      </c>
    </row>
    <row r="33" ht="14.25" customHeight="1">
      <c r="A33" s="112" t="s">
        <v>988</v>
      </c>
      <c r="B33" s="112" t="b">
        <f t="shared" si="1"/>
        <v>0</v>
      </c>
    </row>
    <row r="34" ht="14.25" customHeight="1">
      <c r="A34" s="112" t="s">
        <v>989</v>
      </c>
      <c r="B34" s="112" t="b">
        <f t="shared" si="1"/>
        <v>0</v>
      </c>
    </row>
    <row r="35" ht="14.25" customHeight="1">
      <c r="A35" s="112" t="s">
        <v>989</v>
      </c>
      <c r="B35" s="112" t="b">
        <f t="shared" si="1"/>
        <v>1</v>
      </c>
    </row>
    <row r="36" ht="14.25" customHeight="1">
      <c r="A36" s="112" t="s">
        <v>990</v>
      </c>
      <c r="B36" s="112" t="b">
        <f t="shared" si="1"/>
        <v>0</v>
      </c>
    </row>
    <row r="37" ht="14.25" customHeight="1">
      <c r="A37" s="112" t="s">
        <v>991</v>
      </c>
      <c r="B37" s="112" t="b">
        <f t="shared" si="1"/>
        <v>0</v>
      </c>
    </row>
    <row r="38" ht="14.25" customHeight="1">
      <c r="A38" s="112" t="s">
        <v>992</v>
      </c>
      <c r="B38" s="112" t="b">
        <f t="shared" si="1"/>
        <v>0</v>
      </c>
    </row>
    <row r="39" ht="14.25" customHeight="1">
      <c r="A39" s="112" t="s">
        <v>993</v>
      </c>
      <c r="B39" s="112" t="b">
        <f t="shared" si="1"/>
        <v>0</v>
      </c>
    </row>
    <row r="40" ht="14.25" customHeight="1">
      <c r="A40" s="112" t="s">
        <v>994</v>
      </c>
      <c r="B40" s="112" t="b">
        <f t="shared" si="1"/>
        <v>0</v>
      </c>
    </row>
    <row r="41" ht="14.25" customHeight="1">
      <c r="A41" s="112" t="s">
        <v>995</v>
      </c>
      <c r="B41" s="112" t="b">
        <f t="shared" si="1"/>
        <v>0</v>
      </c>
    </row>
    <row r="42" ht="14.25" customHeight="1">
      <c r="A42" s="112" t="s">
        <v>996</v>
      </c>
      <c r="B42" s="112" t="b">
        <f t="shared" si="1"/>
        <v>0</v>
      </c>
    </row>
    <row r="43" ht="14.25" customHeight="1">
      <c r="A43" s="112" t="s">
        <v>997</v>
      </c>
      <c r="B43" s="112" t="b">
        <f t="shared" si="1"/>
        <v>0</v>
      </c>
    </row>
    <row r="44" ht="14.25" customHeight="1">
      <c r="A44" s="112" t="s">
        <v>998</v>
      </c>
      <c r="B44" s="112" t="b">
        <f t="shared" si="1"/>
        <v>0</v>
      </c>
    </row>
    <row r="45" ht="14.25" customHeight="1">
      <c r="A45" s="112" t="s">
        <v>999</v>
      </c>
      <c r="B45" s="112" t="b">
        <f t="shared" si="1"/>
        <v>0</v>
      </c>
    </row>
    <row r="46" ht="14.25" customHeight="1">
      <c r="A46" s="112" t="s">
        <v>1000</v>
      </c>
      <c r="B46" s="112" t="b">
        <f t="shared" si="1"/>
        <v>0</v>
      </c>
    </row>
    <row r="47" ht="14.25" customHeight="1">
      <c r="A47" s="112" t="s">
        <v>1001</v>
      </c>
      <c r="B47" s="112" t="b">
        <f t="shared" si="1"/>
        <v>0</v>
      </c>
    </row>
    <row r="48" ht="14.25" customHeight="1">
      <c r="A48" s="112" t="s">
        <v>1002</v>
      </c>
      <c r="B48" s="112" t="b">
        <f t="shared" si="1"/>
        <v>0</v>
      </c>
    </row>
    <row r="49" ht="14.25" customHeight="1">
      <c r="A49" s="112" t="s">
        <v>1003</v>
      </c>
      <c r="B49" s="112" t="b">
        <f t="shared" si="1"/>
        <v>0</v>
      </c>
    </row>
    <row r="50" ht="14.25" customHeight="1">
      <c r="A50" s="112" t="s">
        <v>1004</v>
      </c>
      <c r="B50" s="112" t="b">
        <f t="shared" si="1"/>
        <v>0</v>
      </c>
    </row>
    <row r="51" ht="14.25" customHeight="1">
      <c r="A51" s="112" t="s">
        <v>1005</v>
      </c>
      <c r="B51" s="112" t="b">
        <f t="shared" si="1"/>
        <v>0</v>
      </c>
    </row>
    <row r="52" ht="14.25" customHeight="1">
      <c r="A52" s="112" t="s">
        <v>1006</v>
      </c>
      <c r="B52" s="112" t="b">
        <f t="shared" si="1"/>
        <v>0</v>
      </c>
    </row>
    <row r="53" ht="14.25" customHeight="1">
      <c r="A53" s="112" t="s">
        <v>1007</v>
      </c>
      <c r="B53" s="112" t="b">
        <f t="shared" si="1"/>
        <v>0</v>
      </c>
    </row>
    <row r="54" ht="14.25" customHeight="1">
      <c r="A54" s="112" t="s">
        <v>1008</v>
      </c>
      <c r="B54" s="112" t="b">
        <f t="shared" si="1"/>
        <v>0</v>
      </c>
    </row>
    <row r="55" ht="14.25" customHeight="1">
      <c r="A55" s="112" t="s">
        <v>1009</v>
      </c>
      <c r="B55" s="112" t="b">
        <f t="shared" si="1"/>
        <v>0</v>
      </c>
    </row>
    <row r="56" ht="14.25" customHeight="1">
      <c r="A56" s="112" t="s">
        <v>1010</v>
      </c>
      <c r="B56" s="112" t="b">
        <f t="shared" si="1"/>
        <v>0</v>
      </c>
    </row>
    <row r="57" ht="14.25" customHeight="1">
      <c r="A57" s="112" t="s">
        <v>1011</v>
      </c>
      <c r="B57" s="112" t="b">
        <f t="shared" si="1"/>
        <v>0</v>
      </c>
    </row>
    <row r="58" ht="14.25" customHeight="1">
      <c r="A58" s="112" t="s">
        <v>1012</v>
      </c>
      <c r="B58" s="112" t="b">
        <f t="shared" si="1"/>
        <v>0</v>
      </c>
    </row>
    <row r="59" ht="14.25" customHeight="1">
      <c r="A59" s="112" t="s">
        <v>1013</v>
      </c>
      <c r="B59" s="112" t="b">
        <f t="shared" si="1"/>
        <v>0</v>
      </c>
    </row>
    <row r="60" ht="14.25" customHeight="1">
      <c r="A60" s="112" t="s">
        <v>1014</v>
      </c>
      <c r="B60" s="112" t="b">
        <f t="shared" si="1"/>
        <v>0</v>
      </c>
    </row>
    <row r="61" ht="14.25" customHeight="1">
      <c r="A61" s="112" t="s">
        <v>1015</v>
      </c>
      <c r="B61" s="112" t="b">
        <f t="shared" si="1"/>
        <v>0</v>
      </c>
    </row>
    <row r="62" ht="14.25" customHeight="1">
      <c r="A62" s="112" t="s">
        <v>1016</v>
      </c>
      <c r="B62" s="112" t="b">
        <f t="shared" si="1"/>
        <v>0</v>
      </c>
    </row>
    <row r="63" ht="14.25" customHeight="1">
      <c r="A63" s="112" t="s">
        <v>1017</v>
      </c>
      <c r="B63" s="112" t="b">
        <f t="shared" si="1"/>
        <v>0</v>
      </c>
    </row>
    <row r="64" ht="14.25" customHeight="1">
      <c r="A64" s="112" t="s">
        <v>1018</v>
      </c>
      <c r="B64" s="112" t="b">
        <f t="shared" si="1"/>
        <v>0</v>
      </c>
    </row>
    <row r="65" ht="14.25" customHeight="1">
      <c r="A65" s="112" t="s">
        <v>1019</v>
      </c>
      <c r="B65" s="112" t="b">
        <f t="shared" si="1"/>
        <v>0</v>
      </c>
    </row>
    <row r="66" ht="14.25" customHeight="1">
      <c r="A66" s="112" t="s">
        <v>1020</v>
      </c>
      <c r="B66" s="112" t="b">
        <f t="shared" si="1"/>
        <v>0</v>
      </c>
    </row>
    <row r="67" ht="14.25" customHeight="1">
      <c r="A67" s="112" t="s">
        <v>1021</v>
      </c>
      <c r="B67" s="112" t="b">
        <f t="shared" si="1"/>
        <v>0</v>
      </c>
    </row>
    <row r="68" ht="14.25" customHeight="1">
      <c r="A68" s="112" t="s">
        <v>1022</v>
      </c>
      <c r="B68" s="112" t="b">
        <f t="shared" si="1"/>
        <v>0</v>
      </c>
    </row>
    <row r="69" ht="14.25" customHeight="1">
      <c r="A69" s="112" t="s">
        <v>1023</v>
      </c>
      <c r="B69" s="112" t="b">
        <f t="shared" si="1"/>
        <v>0</v>
      </c>
    </row>
    <row r="70" ht="14.25" customHeight="1">
      <c r="A70" s="112" t="s">
        <v>1024</v>
      </c>
      <c r="B70" s="112" t="b">
        <f t="shared" si="1"/>
        <v>0</v>
      </c>
    </row>
    <row r="71" ht="14.25" customHeight="1">
      <c r="A71" s="112" t="s">
        <v>1025</v>
      </c>
      <c r="B71" s="112" t="b">
        <f t="shared" si="1"/>
        <v>0</v>
      </c>
    </row>
    <row r="72" ht="14.25" customHeight="1">
      <c r="A72" s="112" t="s">
        <v>1026</v>
      </c>
      <c r="B72" s="112" t="b">
        <f t="shared" si="1"/>
        <v>0</v>
      </c>
    </row>
    <row r="73" ht="14.25" customHeight="1">
      <c r="B73" s="112" t="b">
        <f t="shared" si="1"/>
        <v>0</v>
      </c>
    </row>
    <row r="74" ht="14.25" customHeight="1">
      <c r="B74" s="112" t="b">
        <f t="shared" si="1"/>
        <v>1</v>
      </c>
    </row>
    <row r="75" ht="14.25" customHeight="1">
      <c r="B75" s="112" t="b">
        <f t="shared" si="1"/>
        <v>1</v>
      </c>
    </row>
    <row r="76" ht="14.25" customHeight="1">
      <c r="B76" s="112" t="b">
        <f t="shared" si="1"/>
        <v>1</v>
      </c>
    </row>
    <row r="77" ht="14.25" customHeight="1">
      <c r="B77" s="112" t="b">
        <f t="shared" si="1"/>
        <v>1</v>
      </c>
    </row>
    <row r="78" ht="14.25" customHeight="1">
      <c r="B78" s="112" t="b">
        <f t="shared" si="1"/>
        <v>1</v>
      </c>
    </row>
    <row r="79" ht="14.25" customHeight="1">
      <c r="B79" s="112" t="b">
        <f t="shared" si="1"/>
        <v>1</v>
      </c>
    </row>
    <row r="80" ht="14.25" customHeight="1">
      <c r="B80" s="112" t="b">
        <f t="shared" si="1"/>
        <v>1</v>
      </c>
    </row>
    <row r="81" ht="14.25" customHeight="1">
      <c r="B81" s="112" t="b">
        <f t="shared" si="1"/>
        <v>1</v>
      </c>
    </row>
    <row r="82" ht="14.25" customHeight="1">
      <c r="B82" s="112" t="b">
        <f t="shared" si="1"/>
        <v>1</v>
      </c>
    </row>
    <row r="83" ht="14.25" customHeight="1">
      <c r="B83" s="112" t="b">
        <f t="shared" si="1"/>
        <v>1</v>
      </c>
    </row>
    <row r="84" ht="14.25" customHeight="1">
      <c r="B84" s="112" t="b">
        <f t="shared" si="1"/>
        <v>1</v>
      </c>
    </row>
    <row r="85" ht="14.25" customHeight="1">
      <c r="B85" s="112" t="b">
        <f t="shared" si="1"/>
        <v>1</v>
      </c>
    </row>
    <row r="86" ht="14.25" customHeight="1">
      <c r="B86" s="112" t="b">
        <f t="shared" si="1"/>
        <v>1</v>
      </c>
    </row>
    <row r="87" ht="14.25" customHeight="1">
      <c r="B87" s="112" t="b">
        <f t="shared" si="1"/>
        <v>1</v>
      </c>
    </row>
    <row r="88" ht="14.25" customHeight="1">
      <c r="B88" s="112" t="b">
        <f t="shared" si="1"/>
        <v>1</v>
      </c>
    </row>
    <row r="89" ht="14.25" customHeight="1">
      <c r="B89" s="112" t="b">
        <f t="shared" si="1"/>
        <v>1</v>
      </c>
    </row>
    <row r="90" ht="14.25" customHeight="1">
      <c r="B90" s="112" t="b">
        <f t="shared" si="1"/>
        <v>1</v>
      </c>
    </row>
    <row r="91" ht="14.25" customHeight="1">
      <c r="B91" s="112" t="b">
        <f t="shared" si="1"/>
        <v>1</v>
      </c>
    </row>
    <row r="92" ht="14.25" customHeight="1">
      <c r="B92" s="112" t="b">
        <f t="shared" si="1"/>
        <v>1</v>
      </c>
    </row>
    <row r="93" ht="14.25" customHeight="1">
      <c r="B93" s="112" t="b">
        <f t="shared" si="1"/>
        <v>1</v>
      </c>
    </row>
    <row r="94" ht="14.25" customHeight="1">
      <c r="B94" s="112" t="b">
        <f t="shared" si="1"/>
        <v>1</v>
      </c>
    </row>
    <row r="95" ht="14.25" customHeight="1">
      <c r="B95" s="112" t="b">
        <f t="shared" si="1"/>
        <v>1</v>
      </c>
    </row>
    <row r="96" ht="14.25" customHeight="1">
      <c r="B96" s="112" t="b">
        <f t="shared" si="1"/>
        <v>1</v>
      </c>
    </row>
    <row r="97" ht="14.25" customHeight="1">
      <c r="B97" s="112" t="b">
        <f t="shared" si="1"/>
        <v>1</v>
      </c>
    </row>
    <row r="98" ht="14.25" customHeight="1">
      <c r="B98" s="112" t="b">
        <f t="shared" si="1"/>
        <v>1</v>
      </c>
    </row>
    <row r="99" ht="14.25" customHeight="1">
      <c r="B99" s="112" t="b">
        <f t="shared" si="1"/>
        <v>1</v>
      </c>
    </row>
    <row r="100" ht="14.25" customHeight="1">
      <c r="B100" s="112" t="b">
        <f t="shared" si="1"/>
        <v>1</v>
      </c>
    </row>
    <row r="101" ht="14.25" customHeight="1">
      <c r="B101" s="112" t="b">
        <f t="shared" si="1"/>
        <v>1</v>
      </c>
    </row>
    <row r="102" ht="14.25" customHeight="1">
      <c r="B102" s="112" t="b">
        <f t="shared" si="1"/>
        <v>1</v>
      </c>
    </row>
    <row r="103" ht="14.25" customHeight="1">
      <c r="B103" s="112" t="b">
        <f t="shared" si="1"/>
        <v>1</v>
      </c>
    </row>
    <row r="104" ht="14.25" customHeight="1">
      <c r="B104" s="112" t="b">
        <f t="shared" si="1"/>
        <v>1</v>
      </c>
    </row>
    <row r="105" ht="14.25" customHeight="1">
      <c r="B105" s="112" t="b">
        <f t="shared" si="1"/>
        <v>1</v>
      </c>
    </row>
    <row r="106" ht="14.25" customHeight="1">
      <c r="A106" s="116"/>
      <c r="B106" s="112" t="b">
        <f t="shared" si="1"/>
        <v>1</v>
      </c>
    </row>
    <row r="107" ht="14.25" customHeight="1">
      <c r="A107" s="116"/>
      <c r="B107" s="112" t="b">
        <f t="shared" si="1"/>
        <v>1</v>
      </c>
    </row>
    <row r="108" ht="14.25" customHeight="1">
      <c r="B108" s="112" t="b">
        <f t="shared" si="1"/>
        <v>1</v>
      </c>
    </row>
    <row r="109" ht="14.25" customHeight="1">
      <c r="B109" s="112" t="b">
        <f t="shared" si="1"/>
        <v>1</v>
      </c>
    </row>
    <row r="110" ht="14.25" customHeight="1">
      <c r="B110" s="112" t="b">
        <f t="shared" si="1"/>
        <v>1</v>
      </c>
    </row>
    <row r="111" ht="14.25" customHeight="1">
      <c r="B111" s="112" t="b">
        <f t="shared" si="1"/>
        <v>1</v>
      </c>
    </row>
    <row r="112" ht="14.25" customHeight="1">
      <c r="B112" s="112" t="b">
        <f t="shared" si="1"/>
        <v>1</v>
      </c>
    </row>
    <row r="113" ht="14.25" customHeight="1">
      <c r="B113" s="112" t="b">
        <f t="shared" si="1"/>
        <v>1</v>
      </c>
    </row>
    <row r="114" ht="14.25" customHeight="1">
      <c r="B114" s="112" t="b">
        <f t="shared" si="1"/>
        <v>1</v>
      </c>
    </row>
    <row r="115" ht="14.25" customHeight="1">
      <c r="B115" s="112" t="b">
        <f t="shared" si="1"/>
        <v>1</v>
      </c>
    </row>
    <row r="116" ht="14.25" customHeight="1">
      <c r="A116" s="117"/>
      <c r="B116" s="112" t="b">
        <f t="shared" si="1"/>
        <v>1</v>
      </c>
    </row>
    <row r="117" ht="14.25" customHeight="1">
      <c r="A117" s="117"/>
      <c r="B117" s="112" t="b">
        <f t="shared" si="1"/>
        <v>1</v>
      </c>
    </row>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A31:A32">
    <cfRule type="cellIs" dxfId="3" priority="1" operator="equal">
      <formula>"TRUE"</formula>
    </cfRule>
  </conditionalFormatting>
  <conditionalFormatting sqref="A36:A52">
    <cfRule type="cellIs" dxfId="3" priority="2" operator="equal">
      <formula>"TRUE"</formula>
    </cfRule>
  </conditionalFormatting>
  <conditionalFormatting sqref="A60:A72">
    <cfRule type="cellIs" dxfId="3" priority="3" operator="equal">
      <formula>"TRUE"</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6" width="8.71"/>
  </cols>
  <sheetData>
    <row r="1" ht="14.25" customHeight="1"/>
    <row r="2" ht="14.25" customHeight="1">
      <c r="A2" s="112" t="s">
        <v>995</v>
      </c>
      <c r="B2" s="112" t="s">
        <v>1028</v>
      </c>
    </row>
    <row r="3" ht="14.25" customHeight="1">
      <c r="A3" s="112" t="s">
        <v>1000</v>
      </c>
      <c r="B3" s="112" t="s">
        <v>1028</v>
      </c>
    </row>
    <row r="4" ht="14.25" customHeight="1">
      <c r="A4" s="112" t="s">
        <v>992</v>
      </c>
      <c r="B4" s="112" t="s">
        <v>1028</v>
      </c>
    </row>
    <row r="5" ht="14.25" customHeight="1">
      <c r="A5" s="112" t="s">
        <v>979</v>
      </c>
      <c r="B5" s="112" t="s">
        <v>1028</v>
      </c>
    </row>
    <row r="6" ht="14.25" customHeight="1">
      <c r="A6" s="112" t="s">
        <v>1029</v>
      </c>
      <c r="B6" s="112" t="s">
        <v>1028</v>
      </c>
    </row>
    <row r="7" ht="14.25" customHeight="1">
      <c r="A7" s="112" t="s">
        <v>1030</v>
      </c>
      <c r="B7" s="112" t="s">
        <v>1028</v>
      </c>
    </row>
    <row r="8" ht="14.25" customHeight="1">
      <c r="A8" s="112" t="s">
        <v>980</v>
      </c>
      <c r="B8" s="112" t="s">
        <v>1028</v>
      </c>
    </row>
    <row r="9" ht="14.25" customHeight="1">
      <c r="A9" s="112" t="s">
        <v>969</v>
      </c>
      <c r="B9" s="112" t="s">
        <v>1028</v>
      </c>
    </row>
    <row r="10" ht="14.25" customHeight="1">
      <c r="A10" s="112" t="s">
        <v>1031</v>
      </c>
      <c r="B10" s="112" t="s">
        <v>1028</v>
      </c>
    </row>
    <row r="11" ht="14.25" customHeight="1">
      <c r="A11" s="112" t="s">
        <v>978</v>
      </c>
      <c r="B11" s="112" t="s">
        <v>1028</v>
      </c>
    </row>
    <row r="12" ht="14.25" customHeight="1">
      <c r="A12" s="112" t="s">
        <v>977</v>
      </c>
      <c r="B12" s="112" t="s">
        <v>1028</v>
      </c>
    </row>
    <row r="13" ht="14.25" customHeight="1">
      <c r="A13" s="112" t="s">
        <v>993</v>
      </c>
      <c r="B13" s="112" t="s">
        <v>1028</v>
      </c>
    </row>
    <row r="14" ht="14.25" customHeight="1">
      <c r="A14" s="112" t="s">
        <v>981</v>
      </c>
      <c r="B14" s="112" t="s">
        <v>1028</v>
      </c>
    </row>
    <row r="15" ht="14.25" customHeight="1">
      <c r="A15" s="112" t="s">
        <v>1032</v>
      </c>
      <c r="B15" s="112" t="s">
        <v>1028</v>
      </c>
    </row>
    <row r="16" ht="14.25" customHeight="1">
      <c r="A16" s="112" t="s">
        <v>989</v>
      </c>
      <c r="B16" s="112" t="s">
        <v>1028</v>
      </c>
    </row>
    <row r="17" ht="14.25" customHeight="1">
      <c r="A17" s="112" t="s">
        <v>975</v>
      </c>
      <c r="B17" s="112" t="s">
        <v>1028</v>
      </c>
    </row>
    <row r="18" ht="14.25" customHeight="1">
      <c r="A18" s="112" t="s">
        <v>986</v>
      </c>
      <c r="B18" s="112" t="s">
        <v>1028</v>
      </c>
    </row>
    <row r="19" ht="14.25" customHeight="1">
      <c r="A19" s="112" t="s">
        <v>1033</v>
      </c>
      <c r="B19" s="112" t="s">
        <v>1028</v>
      </c>
    </row>
    <row r="20" ht="14.25" customHeight="1">
      <c r="A20" s="112" t="s">
        <v>1034</v>
      </c>
      <c r="B20" s="112" t="s">
        <v>1028</v>
      </c>
    </row>
    <row r="21" ht="14.25" customHeight="1">
      <c r="A21" s="112" t="s">
        <v>1035</v>
      </c>
      <c r="B21" s="112" t="s">
        <v>1028</v>
      </c>
    </row>
    <row r="22" ht="14.25" customHeight="1">
      <c r="A22" s="112" t="s">
        <v>1036</v>
      </c>
      <c r="B22" s="112" t="s">
        <v>1028</v>
      </c>
    </row>
    <row r="23" ht="14.25" customHeight="1">
      <c r="A23" s="112" t="s">
        <v>1037</v>
      </c>
      <c r="B23" s="112" t="s">
        <v>1028</v>
      </c>
    </row>
    <row r="24" ht="14.25" customHeight="1">
      <c r="A24" s="112" t="s">
        <v>1038</v>
      </c>
      <c r="B24" s="112" t="s">
        <v>1028</v>
      </c>
    </row>
    <row r="25" ht="14.25" customHeight="1">
      <c r="A25" s="112" t="s">
        <v>1039</v>
      </c>
      <c r="B25" s="112" t="s">
        <v>1028</v>
      </c>
    </row>
    <row r="26" ht="14.25" customHeight="1">
      <c r="A26" s="112" t="s">
        <v>1040</v>
      </c>
      <c r="B26" s="112" t="s">
        <v>1028</v>
      </c>
    </row>
    <row r="27" ht="14.25" customHeight="1">
      <c r="A27" s="112" t="s">
        <v>1041</v>
      </c>
      <c r="B27" s="112" t="s">
        <v>1028</v>
      </c>
    </row>
    <row r="28" ht="14.25" customHeight="1">
      <c r="A28" s="112" t="s">
        <v>1042</v>
      </c>
      <c r="B28" s="112" t="s">
        <v>1028</v>
      </c>
    </row>
    <row r="29" ht="14.25" customHeight="1">
      <c r="A29" s="112" t="s">
        <v>1043</v>
      </c>
      <c r="B29" s="112" t="s">
        <v>1028</v>
      </c>
    </row>
    <row r="30" ht="14.25" customHeight="1">
      <c r="A30" s="112" t="s">
        <v>1044</v>
      </c>
      <c r="B30" s="112" t="s">
        <v>1028</v>
      </c>
    </row>
    <row r="31" ht="14.25" customHeight="1">
      <c r="A31" s="112" t="s">
        <v>1045</v>
      </c>
      <c r="B31" s="112" t="s">
        <v>1028</v>
      </c>
    </row>
    <row r="32" ht="14.25" customHeight="1">
      <c r="A32" s="112" t="s">
        <v>1046</v>
      </c>
      <c r="B32" s="112" t="s">
        <v>1028</v>
      </c>
    </row>
    <row r="33" ht="14.25" customHeight="1">
      <c r="A33" s="112" t="s">
        <v>1047</v>
      </c>
      <c r="B33" s="112" t="s">
        <v>1028</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26.29"/>
    <col customWidth="1" min="2" max="2" width="25.43"/>
    <col customWidth="1" min="3" max="3" width="24.0"/>
    <col customWidth="1" min="4" max="4" width="31.71"/>
    <col customWidth="1" min="5" max="26" width="8.71"/>
  </cols>
  <sheetData>
    <row r="1" ht="14.25" customHeight="1">
      <c r="A1" s="113" t="s">
        <v>1027</v>
      </c>
      <c r="B1" s="113" t="s">
        <v>1048</v>
      </c>
      <c r="C1" s="113" t="s">
        <v>1049</v>
      </c>
      <c r="D1" s="113" t="s">
        <v>1050</v>
      </c>
    </row>
    <row r="2" ht="14.25" customHeight="1">
      <c r="A2" s="112" t="s">
        <v>455</v>
      </c>
      <c r="B2" s="112" t="s">
        <v>456</v>
      </c>
      <c r="C2" s="112" t="s">
        <v>98</v>
      </c>
      <c r="D2" s="112" t="s">
        <v>1051</v>
      </c>
    </row>
    <row r="3" ht="14.25" customHeight="1">
      <c r="A3" s="112" t="s">
        <v>457</v>
      </c>
      <c r="B3" s="112"/>
      <c r="C3" s="112" t="s">
        <v>458</v>
      </c>
      <c r="D3" s="112" t="s">
        <v>1052</v>
      </c>
    </row>
    <row r="4" ht="14.25" customHeight="1">
      <c r="A4" s="112" t="s">
        <v>459</v>
      </c>
      <c r="B4" s="112" t="s">
        <v>460</v>
      </c>
      <c r="C4" s="112" t="s">
        <v>72</v>
      </c>
      <c r="D4" s="112" t="s">
        <v>1053</v>
      </c>
    </row>
    <row r="5" ht="14.25" customHeight="1">
      <c r="A5" s="112" t="s">
        <v>461</v>
      </c>
      <c r="B5" s="112" t="s">
        <v>462</v>
      </c>
      <c r="C5" s="112" t="s">
        <v>78</v>
      </c>
      <c r="D5" s="112" t="s">
        <v>1054</v>
      </c>
    </row>
    <row r="6" ht="14.25" customHeight="1">
      <c r="A6" s="112" t="s">
        <v>118</v>
      </c>
      <c r="B6" s="112" t="s">
        <v>463</v>
      </c>
      <c r="C6" s="112" t="s">
        <v>118</v>
      </c>
      <c r="D6" s="112" t="s">
        <v>1055</v>
      </c>
    </row>
    <row r="7" ht="14.25" customHeight="1">
      <c r="A7" s="112" t="s">
        <v>464</v>
      </c>
      <c r="B7" s="112" t="s">
        <v>465</v>
      </c>
      <c r="C7" s="112" t="s">
        <v>94</v>
      </c>
      <c r="D7" s="112" t="s">
        <v>1056</v>
      </c>
    </row>
    <row r="8" ht="14.25" customHeight="1">
      <c r="A8" s="112" t="s">
        <v>466</v>
      </c>
      <c r="B8" s="112"/>
      <c r="C8" s="112" t="s">
        <v>467</v>
      </c>
      <c r="D8" s="112" t="s">
        <v>1057</v>
      </c>
    </row>
    <row r="9" ht="14.25" customHeight="1">
      <c r="A9" s="112" t="s">
        <v>266</v>
      </c>
      <c r="B9" s="112" t="s">
        <v>468</v>
      </c>
      <c r="C9" s="112" t="s">
        <v>266</v>
      </c>
      <c r="D9" s="112" t="s">
        <v>1058</v>
      </c>
    </row>
    <row r="10" ht="14.25" customHeight="1">
      <c r="A10" s="112" t="s">
        <v>408</v>
      </c>
      <c r="B10" s="112" t="s">
        <v>469</v>
      </c>
      <c r="C10" s="112" t="s">
        <v>408</v>
      </c>
      <c r="D10" s="112" t="s">
        <v>1059</v>
      </c>
    </row>
    <row r="11" ht="14.25" customHeight="1">
      <c r="A11" s="112" t="s">
        <v>470</v>
      </c>
      <c r="B11" s="112" t="s">
        <v>471</v>
      </c>
      <c r="C11" s="112" t="s">
        <v>258</v>
      </c>
      <c r="D11" s="112" t="s">
        <v>1060</v>
      </c>
    </row>
    <row r="12" ht="14.25" customHeight="1">
      <c r="A12" s="112" t="s">
        <v>249</v>
      </c>
      <c r="B12" s="112" t="s">
        <v>472</v>
      </c>
      <c r="C12" s="112" t="s">
        <v>249</v>
      </c>
      <c r="D12" s="112" t="s">
        <v>1061</v>
      </c>
    </row>
    <row r="13" ht="14.25" customHeight="1">
      <c r="A13" s="112" t="s">
        <v>389</v>
      </c>
      <c r="B13" s="112" t="s">
        <v>473</v>
      </c>
      <c r="C13" s="112" t="s">
        <v>389</v>
      </c>
      <c r="D13" s="112" t="s">
        <v>1062</v>
      </c>
    </row>
    <row r="14" ht="14.25" customHeight="1">
      <c r="A14" s="112" t="s">
        <v>386</v>
      </c>
      <c r="B14" s="112" t="s">
        <v>474</v>
      </c>
      <c r="C14" s="112" t="s">
        <v>386</v>
      </c>
      <c r="D14" s="112" t="s">
        <v>1063</v>
      </c>
    </row>
    <row r="15" ht="14.25" customHeight="1">
      <c r="A15" s="112" t="s">
        <v>475</v>
      </c>
      <c r="B15" s="112" t="s">
        <v>476</v>
      </c>
      <c r="C15" s="112" t="s">
        <v>51</v>
      </c>
      <c r="D15" s="112" t="s">
        <v>1064</v>
      </c>
    </row>
    <row r="16" ht="14.25" customHeight="1">
      <c r="A16" s="112" t="s">
        <v>477</v>
      </c>
      <c r="B16" s="112" t="s">
        <v>478</v>
      </c>
      <c r="C16" s="112" t="s">
        <v>56</v>
      </c>
      <c r="D16" s="112" t="s">
        <v>1065</v>
      </c>
    </row>
    <row r="17" ht="14.25" customHeight="1">
      <c r="A17" s="112" t="s">
        <v>479</v>
      </c>
      <c r="B17" s="112" t="s">
        <v>480</v>
      </c>
      <c r="C17" s="112" t="s">
        <v>59</v>
      </c>
      <c r="D17" s="112" t="s">
        <v>1066</v>
      </c>
    </row>
    <row r="18" ht="14.25" customHeight="1">
      <c r="A18" s="112" t="s">
        <v>382</v>
      </c>
      <c r="B18" s="112" t="s">
        <v>481</v>
      </c>
      <c r="C18" s="112" t="s">
        <v>382</v>
      </c>
      <c r="D18" s="112" t="s">
        <v>1067</v>
      </c>
    </row>
    <row r="19" ht="14.25" customHeight="1">
      <c r="A19" s="112" t="s">
        <v>327</v>
      </c>
      <c r="B19" s="112" t="s">
        <v>482</v>
      </c>
      <c r="C19" s="112" t="s">
        <v>327</v>
      </c>
      <c r="D19" s="112" t="s">
        <v>1068</v>
      </c>
    </row>
    <row r="20" ht="14.25" customHeight="1">
      <c r="A20" s="112" t="s">
        <v>483</v>
      </c>
      <c r="B20" s="112" t="s">
        <v>484</v>
      </c>
      <c r="C20" s="112" t="s">
        <v>333</v>
      </c>
      <c r="D20" s="112" t="s">
        <v>1069</v>
      </c>
    </row>
    <row r="21" ht="14.25" customHeight="1">
      <c r="A21" s="112" t="s">
        <v>485</v>
      </c>
      <c r="B21" s="112" t="s">
        <v>486</v>
      </c>
      <c r="C21" s="112" t="s">
        <v>485</v>
      </c>
      <c r="D21" s="112" t="s">
        <v>1070</v>
      </c>
    </row>
    <row r="22" ht="14.25" customHeight="1">
      <c r="A22" s="112" t="s">
        <v>278</v>
      </c>
      <c r="B22" s="112" t="s">
        <v>487</v>
      </c>
      <c r="C22" s="112" t="s">
        <v>278</v>
      </c>
      <c r="D22" s="112" t="s">
        <v>1071</v>
      </c>
    </row>
    <row r="23" ht="14.25" customHeight="1">
      <c r="A23" s="112" t="s">
        <v>285</v>
      </c>
      <c r="B23" s="112"/>
      <c r="C23" s="112" t="s">
        <v>285</v>
      </c>
      <c r="D23" s="112" t="s">
        <v>1072</v>
      </c>
    </row>
    <row r="24" ht="14.25" customHeight="1">
      <c r="A24" s="112" t="s">
        <v>366</v>
      </c>
      <c r="B24" s="112" t="s">
        <v>488</v>
      </c>
      <c r="C24" s="112" t="s">
        <v>366</v>
      </c>
      <c r="D24" s="112" t="s">
        <v>1073</v>
      </c>
    </row>
    <row r="25" ht="14.25" customHeight="1">
      <c r="A25" s="112" t="s">
        <v>273</v>
      </c>
      <c r="B25" s="112" t="s">
        <v>489</v>
      </c>
      <c r="C25" s="112" t="s">
        <v>273</v>
      </c>
      <c r="D25" s="112" t="s">
        <v>1074</v>
      </c>
    </row>
    <row r="26" ht="14.25" customHeight="1">
      <c r="A26" s="112" t="s">
        <v>222</v>
      </c>
      <c r="B26" s="112"/>
      <c r="C26" s="112" t="s">
        <v>222</v>
      </c>
      <c r="D26" s="112" t="s">
        <v>1075</v>
      </c>
    </row>
    <row r="27" ht="14.25" customHeight="1">
      <c r="A27" s="112" t="s">
        <v>242</v>
      </c>
      <c r="B27" s="112" t="s">
        <v>490</v>
      </c>
      <c r="C27" s="112" t="s">
        <v>242</v>
      </c>
      <c r="D27" s="112" t="s">
        <v>1076</v>
      </c>
    </row>
    <row r="28" ht="14.25" customHeight="1">
      <c r="A28" s="112" t="s">
        <v>235</v>
      </c>
      <c r="B28" s="112" t="s">
        <v>491</v>
      </c>
      <c r="C28" s="112" t="s">
        <v>492</v>
      </c>
      <c r="D28" s="112" t="s">
        <v>1077</v>
      </c>
    </row>
    <row r="29" ht="14.25" customHeight="1">
      <c r="A29" s="112" t="s">
        <v>230</v>
      </c>
      <c r="B29" s="112" t="s">
        <v>493</v>
      </c>
      <c r="C29" s="112" t="s">
        <v>230</v>
      </c>
      <c r="D29" s="112" t="s">
        <v>1078</v>
      </c>
    </row>
    <row r="30" ht="14.25" customHeight="1">
      <c r="A30" s="112" t="s">
        <v>214</v>
      </c>
      <c r="B30" s="112" t="s">
        <v>494</v>
      </c>
      <c r="C30" s="112" t="s">
        <v>214</v>
      </c>
      <c r="D30" s="112" t="s">
        <v>1079</v>
      </c>
    </row>
    <row r="31" ht="14.25" customHeight="1">
      <c r="A31" s="112" t="s">
        <v>312</v>
      </c>
      <c r="B31" s="112" t="s">
        <v>495</v>
      </c>
      <c r="C31" s="112" t="s">
        <v>312</v>
      </c>
      <c r="D31" s="112" t="s">
        <v>1080</v>
      </c>
    </row>
    <row r="32" ht="14.25" customHeight="1">
      <c r="A32" s="112" t="s">
        <v>309</v>
      </c>
      <c r="B32" s="112" t="s">
        <v>495</v>
      </c>
      <c r="C32" s="112" t="s">
        <v>309</v>
      </c>
      <c r="D32" s="112" t="s">
        <v>1080</v>
      </c>
    </row>
    <row r="33" ht="14.25" customHeight="1">
      <c r="A33" s="112" t="s">
        <v>306</v>
      </c>
      <c r="B33" s="112" t="s">
        <v>496</v>
      </c>
      <c r="C33" s="112" t="s">
        <v>306</v>
      </c>
      <c r="D33" s="112" t="s">
        <v>1081</v>
      </c>
    </row>
    <row r="34" ht="14.25" customHeight="1">
      <c r="A34" s="112" t="s">
        <v>303</v>
      </c>
      <c r="B34" s="112" t="s">
        <v>497</v>
      </c>
      <c r="C34" s="112" t="s">
        <v>303</v>
      </c>
      <c r="D34" s="112" t="s">
        <v>1082</v>
      </c>
    </row>
    <row r="35" ht="14.25" customHeight="1">
      <c r="A35" s="112" t="s">
        <v>299</v>
      </c>
      <c r="B35" s="112" t="s">
        <v>498</v>
      </c>
      <c r="C35" s="112" t="s">
        <v>299</v>
      </c>
      <c r="D35" s="112" t="s">
        <v>1083</v>
      </c>
    </row>
    <row r="36" ht="14.25" customHeight="1">
      <c r="A36" s="112" t="s">
        <v>295</v>
      </c>
      <c r="B36" s="112" t="s">
        <v>499</v>
      </c>
      <c r="C36" s="112" t="s">
        <v>500</v>
      </c>
      <c r="D36" s="112" t="s">
        <v>1084</v>
      </c>
    </row>
    <row r="37" ht="14.25" customHeight="1">
      <c r="A37" s="112" t="s">
        <v>501</v>
      </c>
      <c r="B37" s="112" t="s">
        <v>502</v>
      </c>
      <c r="C37" s="112"/>
      <c r="D37" s="112" t="s">
        <v>1085</v>
      </c>
    </row>
    <row r="38" ht="14.25" customHeight="1">
      <c r="A38" s="112" t="s">
        <v>364</v>
      </c>
      <c r="B38" s="112" t="s">
        <v>503</v>
      </c>
      <c r="C38" s="112" t="s">
        <v>364</v>
      </c>
      <c r="D38" s="112" t="s">
        <v>1086</v>
      </c>
    </row>
    <row r="39" ht="14.25" customHeight="1">
      <c r="A39" s="112" t="s">
        <v>362</v>
      </c>
      <c r="B39" s="112" t="s">
        <v>504</v>
      </c>
      <c r="C39" s="112" t="s">
        <v>362</v>
      </c>
      <c r="D39" s="112" t="s">
        <v>1087</v>
      </c>
    </row>
    <row r="40" ht="14.25" customHeight="1">
      <c r="A40" s="112" t="s">
        <v>359</v>
      </c>
      <c r="B40" s="112" t="s">
        <v>505</v>
      </c>
      <c r="C40" s="112" t="s">
        <v>359</v>
      </c>
      <c r="D40" s="112" t="s">
        <v>1088</v>
      </c>
    </row>
    <row r="41" ht="14.25" customHeight="1">
      <c r="A41" s="112" t="s">
        <v>356</v>
      </c>
      <c r="B41" s="112" t="s">
        <v>506</v>
      </c>
      <c r="C41" s="112" t="s">
        <v>356</v>
      </c>
      <c r="D41" s="112" t="s">
        <v>1089</v>
      </c>
    </row>
    <row r="42" ht="14.25" customHeight="1">
      <c r="A42" s="112" t="s">
        <v>354</v>
      </c>
      <c r="B42" s="112" t="s">
        <v>507</v>
      </c>
      <c r="C42" s="112" t="s">
        <v>354</v>
      </c>
      <c r="D42" s="112" t="s">
        <v>1090</v>
      </c>
    </row>
    <row r="43" ht="14.25" customHeight="1">
      <c r="A43" s="112" t="s">
        <v>352</v>
      </c>
      <c r="B43" s="112" t="s">
        <v>508</v>
      </c>
      <c r="C43" s="112" t="s">
        <v>352</v>
      </c>
      <c r="D43" s="112" t="s">
        <v>1091</v>
      </c>
    </row>
    <row r="44" ht="14.25" customHeight="1">
      <c r="A44" s="112" t="s">
        <v>349</v>
      </c>
      <c r="B44" s="112" t="s">
        <v>509</v>
      </c>
      <c r="C44" s="112" t="s">
        <v>349</v>
      </c>
      <c r="D44" s="112" t="s">
        <v>1092</v>
      </c>
    </row>
    <row r="45" ht="14.25" customHeight="1">
      <c r="A45" s="112" t="s">
        <v>45</v>
      </c>
      <c r="B45" s="112" t="s">
        <v>510</v>
      </c>
      <c r="C45" s="112" t="s">
        <v>45</v>
      </c>
      <c r="D45" s="112" t="s">
        <v>1093</v>
      </c>
    </row>
    <row r="46" ht="14.25" customHeight="1">
      <c r="A46" s="112" t="s">
        <v>37</v>
      </c>
      <c r="B46" s="112" t="s">
        <v>511</v>
      </c>
      <c r="C46" s="112" t="s">
        <v>37</v>
      </c>
      <c r="D46" s="112" t="s">
        <v>1094</v>
      </c>
    </row>
    <row r="47" ht="14.25" customHeight="1">
      <c r="A47" s="112" t="s">
        <v>512</v>
      </c>
      <c r="B47" s="112" t="s">
        <v>513</v>
      </c>
      <c r="C47" s="112" t="s">
        <v>313</v>
      </c>
      <c r="D47" s="112" t="s">
        <v>1095</v>
      </c>
    </row>
    <row r="48" ht="14.25" customHeight="1">
      <c r="A48" s="112" t="s">
        <v>164</v>
      </c>
      <c r="B48" s="112"/>
      <c r="C48" s="112"/>
      <c r="D48" s="112" t="s">
        <v>1096</v>
      </c>
    </row>
    <row r="49" ht="14.25" customHeight="1">
      <c r="A49" s="112" t="s">
        <v>514</v>
      </c>
      <c r="B49" s="112" t="s">
        <v>515</v>
      </c>
      <c r="C49" s="112" t="s">
        <v>322</v>
      </c>
      <c r="D49" s="112" t="s">
        <v>1097</v>
      </c>
    </row>
    <row r="50" ht="14.25" customHeight="1">
      <c r="A50" s="112" t="s">
        <v>191</v>
      </c>
      <c r="B50" s="112" t="s">
        <v>516</v>
      </c>
      <c r="C50" s="112" t="s">
        <v>191</v>
      </c>
      <c r="D50" s="112" t="s">
        <v>1098</v>
      </c>
    </row>
    <row r="51" ht="14.25" customHeight="1">
      <c r="A51" s="112" t="s">
        <v>200</v>
      </c>
      <c r="B51" s="112" t="s">
        <v>517</v>
      </c>
      <c r="C51" s="112" t="s">
        <v>200</v>
      </c>
      <c r="D51" s="112" t="s">
        <v>1099</v>
      </c>
    </row>
    <row r="52" ht="14.25" customHeight="1">
      <c r="A52" s="112" t="s">
        <v>425</v>
      </c>
      <c r="B52" s="112" t="s">
        <v>518</v>
      </c>
      <c r="C52" s="112" t="s">
        <v>425</v>
      </c>
      <c r="D52" s="112" t="s">
        <v>1100</v>
      </c>
    </row>
    <row r="53" ht="14.25" customHeight="1">
      <c r="A53" s="112" t="s">
        <v>519</v>
      </c>
      <c r="B53" s="112" t="s">
        <v>520</v>
      </c>
      <c r="C53" s="112" t="s">
        <v>207</v>
      </c>
      <c r="D53" s="112" t="s">
        <v>1101</v>
      </c>
    </row>
    <row r="54" ht="14.25" customHeight="1">
      <c r="A54" s="112" t="s">
        <v>317</v>
      </c>
      <c r="B54" s="112" t="s">
        <v>521</v>
      </c>
      <c r="C54" s="112" t="s">
        <v>317</v>
      </c>
      <c r="D54" s="112" t="s">
        <v>1102</v>
      </c>
    </row>
    <row r="55" ht="14.25" customHeight="1">
      <c r="A55" s="112" t="s">
        <v>340</v>
      </c>
      <c r="B55" s="112" t="s">
        <v>522</v>
      </c>
      <c r="C55" s="112" t="s">
        <v>340</v>
      </c>
      <c r="D55" s="112" t="s">
        <v>1103</v>
      </c>
    </row>
    <row r="56" ht="14.25" customHeight="1">
      <c r="A56" s="112" t="s">
        <v>336</v>
      </c>
      <c r="B56" s="112" t="s">
        <v>523</v>
      </c>
      <c r="C56" s="112" t="s">
        <v>336</v>
      </c>
      <c r="D56" s="112" t="s">
        <v>1104</v>
      </c>
    </row>
    <row r="57" ht="14.25" customHeight="1">
      <c r="A57" s="112" t="s">
        <v>48</v>
      </c>
      <c r="B57" s="112" t="s">
        <v>524</v>
      </c>
      <c r="C57" s="112" t="s">
        <v>48</v>
      </c>
      <c r="D57" s="112" t="s">
        <v>1105</v>
      </c>
    </row>
    <row r="58" ht="14.25" customHeight="1">
      <c r="A58" s="112" t="s">
        <v>170</v>
      </c>
      <c r="B58" s="112" t="s">
        <v>525</v>
      </c>
      <c r="C58" s="112" t="s">
        <v>170</v>
      </c>
      <c r="D58" s="112" t="s">
        <v>1106</v>
      </c>
    </row>
    <row r="59" ht="14.25" customHeight="1">
      <c r="A59" s="112" t="s">
        <v>138</v>
      </c>
      <c r="B59" s="112" t="s">
        <v>526</v>
      </c>
      <c r="C59" s="112" t="s">
        <v>138</v>
      </c>
      <c r="D59" s="112" t="s">
        <v>1107</v>
      </c>
    </row>
    <row r="60" ht="14.25" customHeight="1">
      <c r="A60" s="112" t="s">
        <v>527</v>
      </c>
      <c r="B60" s="112" t="s">
        <v>528</v>
      </c>
      <c r="C60" s="112" t="s">
        <v>187</v>
      </c>
      <c r="D60" s="112" t="s">
        <v>1108</v>
      </c>
    </row>
    <row r="61" ht="14.25" customHeight="1">
      <c r="A61" s="112" t="s">
        <v>529</v>
      </c>
      <c r="B61" s="112" t="s">
        <v>530</v>
      </c>
      <c r="C61" s="112" t="s">
        <v>181</v>
      </c>
      <c r="D61" s="112" t="s">
        <v>1109</v>
      </c>
    </row>
    <row r="62" ht="14.25" customHeight="1">
      <c r="A62" s="112" t="s">
        <v>531</v>
      </c>
      <c r="B62" s="112" t="s">
        <v>532</v>
      </c>
      <c r="C62" s="112" t="s">
        <v>394</v>
      </c>
      <c r="D62" s="112" t="s">
        <v>1110</v>
      </c>
    </row>
    <row r="63" ht="14.25" customHeight="1">
      <c r="A63" s="112" t="s">
        <v>124</v>
      </c>
      <c r="B63" s="112" t="s">
        <v>533</v>
      </c>
      <c r="C63" s="112" t="s">
        <v>124</v>
      </c>
      <c r="D63" s="112" t="s">
        <v>1111</v>
      </c>
    </row>
    <row r="64" ht="14.25" customHeight="1">
      <c r="A64" s="112" t="s">
        <v>102</v>
      </c>
      <c r="B64" s="112" t="s">
        <v>534</v>
      </c>
      <c r="C64" s="112" t="s">
        <v>102</v>
      </c>
      <c r="D64" s="112" t="s">
        <v>1112</v>
      </c>
    </row>
    <row r="65" ht="14.25" customHeight="1">
      <c r="A65" s="112" t="s">
        <v>535</v>
      </c>
      <c r="B65" s="112"/>
      <c r="C65" s="112" t="s">
        <v>432</v>
      </c>
      <c r="D65" s="112" t="s">
        <v>1113</v>
      </c>
    </row>
    <row r="66" ht="14.25" customHeight="1">
      <c r="A66" s="112" t="s">
        <v>176</v>
      </c>
      <c r="B66" s="112" t="s">
        <v>536</v>
      </c>
      <c r="C66" s="112" t="s">
        <v>176</v>
      </c>
      <c r="D66" s="112" t="s">
        <v>1114</v>
      </c>
    </row>
    <row r="67" ht="14.25" customHeight="1">
      <c r="A67" s="112" t="s">
        <v>537</v>
      </c>
      <c r="B67" s="112" t="s">
        <v>538</v>
      </c>
      <c r="C67" s="112" t="s">
        <v>539</v>
      </c>
      <c r="D67" s="112" t="s">
        <v>1115</v>
      </c>
    </row>
    <row r="68" ht="14.25" customHeight="1">
      <c r="A68" s="112" t="s">
        <v>66</v>
      </c>
      <c r="B68" s="112" t="s">
        <v>540</v>
      </c>
      <c r="C68" s="112" t="s">
        <v>66</v>
      </c>
      <c r="D68" s="112" t="s">
        <v>1116</v>
      </c>
    </row>
    <row r="69" ht="14.25" customHeight="1">
      <c r="A69" s="112" t="s">
        <v>62</v>
      </c>
      <c r="B69" s="112" t="s">
        <v>541</v>
      </c>
      <c r="C69" s="112" t="s">
        <v>62</v>
      </c>
      <c r="D69" s="112" t="s">
        <v>1117</v>
      </c>
    </row>
    <row r="70" ht="14.25" customHeight="1">
      <c r="A70" s="112" t="s">
        <v>69</v>
      </c>
      <c r="B70" s="112" t="s">
        <v>542</v>
      </c>
      <c r="C70" s="112" t="s">
        <v>69</v>
      </c>
      <c r="D70" s="112" t="s">
        <v>1118</v>
      </c>
    </row>
    <row r="71" ht="14.25" customHeight="1">
      <c r="A71" s="112" t="s">
        <v>134</v>
      </c>
      <c r="B71" s="112" t="s">
        <v>543</v>
      </c>
      <c r="C71" s="112" t="s">
        <v>131</v>
      </c>
      <c r="D71" s="112" t="s">
        <v>1119</v>
      </c>
    </row>
    <row r="72" ht="14.25" customHeight="1">
      <c r="A72" s="112" t="s">
        <v>544</v>
      </c>
      <c r="B72" s="112" t="s">
        <v>545</v>
      </c>
      <c r="C72" s="112" t="s">
        <v>546</v>
      </c>
      <c r="D72" s="112" t="s">
        <v>1120</v>
      </c>
    </row>
    <row r="73" ht="14.25" customHeight="1">
      <c r="A73" s="112" t="s">
        <v>547</v>
      </c>
      <c r="B73" s="112" t="s">
        <v>548</v>
      </c>
      <c r="C73" s="112" t="s">
        <v>547</v>
      </c>
      <c r="D73" s="112" t="s">
        <v>1121</v>
      </c>
    </row>
    <row r="74" ht="14.25" customHeight="1">
      <c r="A74" s="112" t="s">
        <v>549</v>
      </c>
      <c r="B74" s="112" t="s">
        <v>550</v>
      </c>
      <c r="C74" s="112" t="s">
        <v>549</v>
      </c>
      <c r="D74" s="112" t="s">
        <v>1122</v>
      </c>
    </row>
    <row r="75" ht="14.25" customHeight="1">
      <c r="A75" s="112" t="s">
        <v>551</v>
      </c>
      <c r="B75" s="112" t="s">
        <v>552</v>
      </c>
      <c r="C75" s="112" t="s">
        <v>551</v>
      </c>
      <c r="D75" s="112" t="s">
        <v>1123</v>
      </c>
    </row>
    <row r="76" ht="14.25" customHeight="1">
      <c r="A76" s="112" t="s">
        <v>553</v>
      </c>
      <c r="B76" s="112" t="s">
        <v>554</v>
      </c>
      <c r="C76" s="112" t="s">
        <v>91</v>
      </c>
      <c r="D76" s="112" t="s">
        <v>1124</v>
      </c>
    </row>
    <row r="77" ht="14.25" customHeight="1">
      <c r="A77" s="112" t="s">
        <v>555</v>
      </c>
      <c r="B77" s="112" t="s">
        <v>556</v>
      </c>
      <c r="C77" s="112" t="s">
        <v>84</v>
      </c>
      <c r="D77" s="112" t="s">
        <v>1125</v>
      </c>
    </row>
    <row r="78" ht="14.25" customHeight="1">
      <c r="A78" s="112" t="s">
        <v>557</v>
      </c>
      <c r="C78" s="112" t="s">
        <v>1126</v>
      </c>
      <c r="D78" s="112" t="s">
        <v>558</v>
      </c>
    </row>
    <row r="79" ht="14.25" customHeight="1">
      <c r="A79" s="112" t="s">
        <v>557</v>
      </c>
      <c r="C79" s="112" t="s">
        <v>1126</v>
      </c>
      <c r="D79" s="112" t="s">
        <v>559</v>
      </c>
    </row>
    <row r="80" ht="14.25" customHeight="1">
      <c r="A80" s="112" t="s">
        <v>557</v>
      </c>
      <c r="C80" s="112" t="s">
        <v>1126</v>
      </c>
      <c r="D80" s="112" t="s">
        <v>560</v>
      </c>
    </row>
    <row r="81" ht="14.25" customHeight="1">
      <c r="A81" s="112" t="s">
        <v>561</v>
      </c>
      <c r="C81" s="112" t="s">
        <v>1126</v>
      </c>
      <c r="D81" s="112" t="s">
        <v>562</v>
      </c>
    </row>
    <row r="82" ht="14.25" customHeight="1">
      <c r="A82" s="112" t="s">
        <v>563</v>
      </c>
      <c r="C82" s="112" t="s">
        <v>1126</v>
      </c>
      <c r="D82" s="112" t="s">
        <v>564</v>
      </c>
    </row>
    <row r="83" ht="14.25" customHeight="1">
      <c r="A83" s="112" t="s">
        <v>565</v>
      </c>
      <c r="C83" s="112" t="s">
        <v>94</v>
      </c>
      <c r="D83" s="112" t="s">
        <v>566</v>
      </c>
    </row>
    <row r="84" ht="14.25" customHeight="1">
      <c r="A84" s="112" t="s">
        <v>567</v>
      </c>
      <c r="C84" s="112" t="s">
        <v>94</v>
      </c>
      <c r="D84" s="112" t="s">
        <v>568</v>
      </c>
    </row>
    <row r="85" ht="14.25" customHeight="1">
      <c r="A85" s="112" t="s">
        <v>569</v>
      </c>
      <c r="C85" s="112" t="s">
        <v>94</v>
      </c>
      <c r="D85" s="112" t="s">
        <v>570</v>
      </c>
    </row>
    <row r="86" ht="14.25" customHeight="1">
      <c r="A86" s="112" t="s">
        <v>571</v>
      </c>
      <c r="C86" s="112" t="s">
        <v>94</v>
      </c>
      <c r="D86" s="112" t="s">
        <v>572</v>
      </c>
    </row>
    <row r="87" ht="14.25" customHeight="1">
      <c r="A87" s="112" t="s">
        <v>573</v>
      </c>
      <c r="C87" s="112" t="s">
        <v>94</v>
      </c>
      <c r="D87" s="112" t="s">
        <v>574</v>
      </c>
    </row>
    <row r="88" ht="14.25" customHeight="1">
      <c r="A88" s="112" t="s">
        <v>575</v>
      </c>
      <c r="C88" s="112" t="s">
        <v>72</v>
      </c>
      <c r="D88" s="112" t="s">
        <v>576</v>
      </c>
    </row>
    <row r="89" ht="14.25" customHeight="1">
      <c r="A89" s="112" t="s">
        <v>577</v>
      </c>
      <c r="C89" s="112" t="s">
        <v>72</v>
      </c>
      <c r="D89" s="112" t="s">
        <v>578</v>
      </c>
    </row>
    <row r="90" ht="14.25" customHeight="1">
      <c r="A90" s="112" t="s">
        <v>579</v>
      </c>
      <c r="C90" s="112" t="s">
        <v>72</v>
      </c>
      <c r="D90" s="112" t="s">
        <v>580</v>
      </c>
    </row>
    <row r="91" ht="14.25" customHeight="1">
      <c r="A91" s="112" t="s">
        <v>581</v>
      </c>
      <c r="C91" s="112" t="s">
        <v>72</v>
      </c>
      <c r="D91" s="112" t="s">
        <v>582</v>
      </c>
    </row>
    <row r="92" ht="14.25" customHeight="1">
      <c r="A92" s="112" t="s">
        <v>583</v>
      </c>
      <c r="C92" s="112" t="s">
        <v>72</v>
      </c>
      <c r="D92" s="112" t="s">
        <v>584</v>
      </c>
    </row>
    <row r="93" ht="14.25" customHeight="1">
      <c r="A93" s="112" t="s">
        <v>585</v>
      </c>
      <c r="C93" s="112" t="s">
        <v>72</v>
      </c>
      <c r="D93" s="112" t="s">
        <v>586</v>
      </c>
    </row>
    <row r="94" ht="14.25" customHeight="1">
      <c r="A94" s="112" t="s">
        <v>587</v>
      </c>
      <c r="C94" s="112" t="s">
        <v>118</v>
      </c>
      <c r="D94" s="112" t="s">
        <v>588</v>
      </c>
    </row>
    <row r="95" ht="14.25" customHeight="1">
      <c r="A95" s="112" t="s">
        <v>589</v>
      </c>
      <c r="C95" s="112" t="s">
        <v>118</v>
      </c>
      <c r="D95" s="112" t="s">
        <v>590</v>
      </c>
    </row>
    <row r="96" ht="14.25" customHeight="1">
      <c r="A96" s="112" t="s">
        <v>591</v>
      </c>
      <c r="C96" s="112" t="s">
        <v>118</v>
      </c>
      <c r="D96" s="112" t="s">
        <v>592</v>
      </c>
    </row>
    <row r="97" ht="14.25" customHeight="1">
      <c r="A97" s="112" t="s">
        <v>593</v>
      </c>
      <c r="C97" s="112" t="s">
        <v>118</v>
      </c>
      <c r="D97" s="112" t="s">
        <v>594</v>
      </c>
    </row>
    <row r="98" ht="14.25" customHeight="1">
      <c r="A98" s="112" t="s">
        <v>595</v>
      </c>
      <c r="C98" s="112" t="s">
        <v>118</v>
      </c>
      <c r="D98" s="112" t="s">
        <v>596</v>
      </c>
    </row>
    <row r="99" ht="14.25" customHeight="1">
      <c r="A99" s="112" t="s">
        <v>597</v>
      </c>
      <c r="C99" s="112" t="s">
        <v>118</v>
      </c>
      <c r="D99" s="112" t="s">
        <v>598</v>
      </c>
    </row>
    <row r="100" ht="14.25" customHeight="1">
      <c r="A100" s="112" t="s">
        <v>599</v>
      </c>
      <c r="C100" s="112" t="s">
        <v>118</v>
      </c>
      <c r="D100" s="112" t="s">
        <v>600</v>
      </c>
    </row>
    <row r="101" ht="14.25" customHeight="1">
      <c r="A101" s="112" t="s">
        <v>601</v>
      </c>
      <c r="C101" s="112" t="s">
        <v>118</v>
      </c>
      <c r="D101" s="112" t="s">
        <v>602</v>
      </c>
    </row>
    <row r="102" ht="14.25" customHeight="1">
      <c r="A102" s="112" t="s">
        <v>603</v>
      </c>
      <c r="C102" s="112" t="s">
        <v>118</v>
      </c>
      <c r="D102" s="112" t="s">
        <v>604</v>
      </c>
    </row>
    <row r="103" ht="14.25" customHeight="1">
      <c r="A103" s="112" t="s">
        <v>605</v>
      </c>
      <c r="C103" s="112" t="s">
        <v>118</v>
      </c>
      <c r="D103" s="112" t="s">
        <v>606</v>
      </c>
    </row>
    <row r="104" ht="14.25" customHeight="1">
      <c r="A104" s="112" t="s">
        <v>607</v>
      </c>
      <c r="C104" s="112" t="s">
        <v>118</v>
      </c>
      <c r="D104" s="112" t="s">
        <v>608</v>
      </c>
    </row>
    <row r="105" ht="14.25" customHeight="1">
      <c r="A105" s="112" t="s">
        <v>609</v>
      </c>
      <c r="C105" s="112" t="s">
        <v>118</v>
      </c>
      <c r="D105" s="112" t="s">
        <v>610</v>
      </c>
    </row>
    <row r="106" ht="14.25" customHeight="1">
      <c r="A106" s="112" t="s">
        <v>611</v>
      </c>
      <c r="C106" s="112" t="s">
        <v>118</v>
      </c>
      <c r="D106" s="112" t="s">
        <v>612</v>
      </c>
    </row>
    <row r="107" ht="14.25" customHeight="1">
      <c r="A107" s="112" t="s">
        <v>613</v>
      </c>
      <c r="C107" s="112" t="s">
        <v>614</v>
      </c>
      <c r="D107" s="112" t="s">
        <v>615</v>
      </c>
    </row>
    <row r="108" ht="14.25" customHeight="1">
      <c r="A108" s="112" t="s">
        <v>616</v>
      </c>
      <c r="C108" s="112" t="s">
        <v>614</v>
      </c>
      <c r="D108" s="112" t="s">
        <v>617</v>
      </c>
    </row>
    <row r="109" ht="14.25" customHeight="1">
      <c r="A109" s="112" t="s">
        <v>618</v>
      </c>
      <c r="C109" s="112" t="s">
        <v>614</v>
      </c>
      <c r="D109" s="112" t="s">
        <v>619</v>
      </c>
    </row>
    <row r="110" ht="14.25" customHeight="1">
      <c r="A110" s="112" t="s">
        <v>620</v>
      </c>
      <c r="C110" s="112" t="s">
        <v>614</v>
      </c>
      <c r="D110" s="112" t="s">
        <v>621</v>
      </c>
    </row>
    <row r="111" ht="14.25" customHeight="1">
      <c r="A111" s="112" t="s">
        <v>622</v>
      </c>
      <c r="C111" s="112" t="s">
        <v>623</v>
      </c>
      <c r="D111" s="112" t="s">
        <v>624</v>
      </c>
    </row>
    <row r="112" ht="14.25" customHeight="1">
      <c r="A112" s="112" t="s">
        <v>625</v>
      </c>
      <c r="C112" s="112" t="s">
        <v>623</v>
      </c>
      <c r="D112" s="112" t="s">
        <v>626</v>
      </c>
    </row>
    <row r="113" ht="14.25" customHeight="1">
      <c r="A113" s="112" t="s">
        <v>627</v>
      </c>
      <c r="C113" s="112" t="s">
        <v>628</v>
      </c>
      <c r="D113" s="112" t="s">
        <v>629</v>
      </c>
    </row>
    <row r="114" ht="14.25" customHeight="1">
      <c r="A114" s="112" t="s">
        <v>630</v>
      </c>
      <c r="C114" s="112" t="s">
        <v>389</v>
      </c>
      <c r="D114" s="112" t="s">
        <v>631</v>
      </c>
    </row>
    <row r="115" ht="14.25" customHeight="1">
      <c r="A115" s="112" t="s">
        <v>632</v>
      </c>
      <c r="C115" s="112" t="s">
        <v>389</v>
      </c>
      <c r="D115" s="112" t="s">
        <v>633</v>
      </c>
    </row>
    <row r="116" ht="14.25" customHeight="1">
      <c r="A116" s="112" t="s">
        <v>634</v>
      </c>
      <c r="C116" s="112" t="s">
        <v>389</v>
      </c>
      <c r="D116" s="112" t="s">
        <v>635</v>
      </c>
    </row>
    <row r="117" ht="14.25" customHeight="1">
      <c r="A117" s="112" t="s">
        <v>636</v>
      </c>
      <c r="C117" s="112" t="s">
        <v>389</v>
      </c>
      <c r="D117" s="112" t="s">
        <v>637</v>
      </c>
    </row>
    <row r="118" ht="14.25" customHeight="1">
      <c r="A118" s="112" t="s">
        <v>638</v>
      </c>
      <c r="C118" s="112" t="s">
        <v>389</v>
      </c>
      <c r="D118" s="112" t="s">
        <v>639</v>
      </c>
    </row>
    <row r="119" ht="14.25" customHeight="1">
      <c r="A119" s="112" t="s">
        <v>640</v>
      </c>
      <c r="C119" s="112" t="s">
        <v>386</v>
      </c>
      <c r="D119" s="112" t="s">
        <v>641</v>
      </c>
    </row>
    <row r="120" ht="14.25" customHeight="1">
      <c r="A120" s="112" t="s">
        <v>642</v>
      </c>
      <c r="C120" s="112" t="s">
        <v>386</v>
      </c>
      <c r="D120" s="112" t="s">
        <v>643</v>
      </c>
    </row>
    <row r="121" ht="14.25" customHeight="1">
      <c r="A121" s="112" t="s">
        <v>644</v>
      </c>
      <c r="C121" s="112" t="s">
        <v>51</v>
      </c>
      <c r="D121" s="112" t="s">
        <v>645</v>
      </c>
    </row>
    <row r="122" ht="14.25" customHeight="1">
      <c r="A122" s="112" t="s">
        <v>646</v>
      </c>
      <c r="C122" s="112" t="s">
        <v>51</v>
      </c>
      <c r="D122" s="112" t="s">
        <v>647</v>
      </c>
    </row>
    <row r="123" ht="14.25" customHeight="1">
      <c r="A123" s="112" t="s">
        <v>648</v>
      </c>
      <c r="C123" s="112" t="s">
        <v>51</v>
      </c>
      <c r="D123" s="112" t="s">
        <v>649</v>
      </c>
    </row>
    <row r="124" ht="14.25" customHeight="1">
      <c r="A124" s="112" t="s">
        <v>650</v>
      </c>
      <c r="C124" s="112" t="s">
        <v>51</v>
      </c>
      <c r="D124" s="112" t="s">
        <v>651</v>
      </c>
    </row>
    <row r="125" ht="14.25" customHeight="1">
      <c r="A125" s="112" t="s">
        <v>652</v>
      </c>
      <c r="C125" s="112" t="s">
        <v>51</v>
      </c>
      <c r="D125" s="112" t="s">
        <v>653</v>
      </c>
    </row>
    <row r="126" ht="14.25" customHeight="1">
      <c r="A126" s="112" t="s">
        <v>630</v>
      </c>
      <c r="C126" s="112" t="s">
        <v>56</v>
      </c>
      <c r="D126" s="112" t="s">
        <v>654</v>
      </c>
    </row>
    <row r="127" ht="14.25" customHeight="1">
      <c r="A127" s="112" t="s">
        <v>655</v>
      </c>
      <c r="C127" s="112" t="s">
        <v>56</v>
      </c>
      <c r="D127" s="112" t="s">
        <v>656</v>
      </c>
    </row>
    <row r="128" ht="14.25" customHeight="1">
      <c r="A128" s="112" t="s">
        <v>657</v>
      </c>
      <c r="C128" s="112" t="s">
        <v>56</v>
      </c>
      <c r="D128" s="112" t="s">
        <v>658</v>
      </c>
    </row>
    <row r="129" ht="14.25" customHeight="1">
      <c r="A129" s="112" t="s">
        <v>659</v>
      </c>
      <c r="C129" s="112" t="s">
        <v>56</v>
      </c>
      <c r="D129" s="112" t="s">
        <v>660</v>
      </c>
    </row>
    <row r="130" ht="14.25" customHeight="1">
      <c r="A130" s="112" t="s">
        <v>638</v>
      </c>
      <c r="C130" s="112" t="s">
        <v>56</v>
      </c>
      <c r="D130" s="112" t="s">
        <v>661</v>
      </c>
    </row>
    <row r="131" ht="14.25" customHeight="1">
      <c r="A131" s="112" t="s">
        <v>640</v>
      </c>
      <c r="C131" s="112" t="s">
        <v>59</v>
      </c>
      <c r="D131" s="112" t="s">
        <v>662</v>
      </c>
    </row>
    <row r="132" ht="14.25" customHeight="1">
      <c r="A132" s="112" t="s">
        <v>663</v>
      </c>
      <c r="C132" s="112" t="s">
        <v>59</v>
      </c>
      <c r="D132" s="112" t="s">
        <v>664</v>
      </c>
    </row>
    <row r="133" ht="14.25" customHeight="1">
      <c r="A133" s="112" t="s">
        <v>642</v>
      </c>
      <c r="C133" s="112" t="s">
        <v>59</v>
      </c>
      <c r="D133" s="112" t="s">
        <v>665</v>
      </c>
    </row>
    <row r="134" ht="14.25" customHeight="1">
      <c r="A134" s="112" t="s">
        <v>666</v>
      </c>
      <c r="C134" s="112" t="s">
        <v>382</v>
      </c>
      <c r="D134" s="112" t="s">
        <v>667</v>
      </c>
    </row>
    <row r="135" ht="14.25" customHeight="1">
      <c r="A135" s="112" t="s">
        <v>668</v>
      </c>
      <c r="C135" s="112" t="s">
        <v>382</v>
      </c>
      <c r="D135" s="112" t="s">
        <v>669</v>
      </c>
    </row>
    <row r="136" ht="14.25" customHeight="1">
      <c r="A136" s="112" t="s">
        <v>670</v>
      </c>
      <c r="C136" s="112" t="s">
        <v>382</v>
      </c>
      <c r="D136" s="112" t="s">
        <v>671</v>
      </c>
    </row>
    <row r="137" ht="14.25" customHeight="1">
      <c r="A137" s="112" t="s">
        <v>672</v>
      </c>
      <c r="C137" s="112" t="s">
        <v>382</v>
      </c>
      <c r="D137" s="112" t="s">
        <v>673</v>
      </c>
    </row>
    <row r="138" ht="14.25" customHeight="1">
      <c r="A138" s="112" t="s">
        <v>674</v>
      </c>
      <c r="C138" s="112" t="s">
        <v>382</v>
      </c>
      <c r="D138" s="112" t="s">
        <v>675</v>
      </c>
    </row>
    <row r="139" ht="14.25" customHeight="1">
      <c r="A139" s="112" t="s">
        <v>676</v>
      </c>
      <c r="C139" s="112" t="s">
        <v>382</v>
      </c>
      <c r="D139" s="112" t="s">
        <v>677</v>
      </c>
    </row>
    <row r="140" ht="14.25" customHeight="1">
      <c r="A140" s="112" t="s">
        <v>678</v>
      </c>
      <c r="C140" s="112" t="s">
        <v>679</v>
      </c>
      <c r="D140" s="112" t="s">
        <v>680</v>
      </c>
    </row>
    <row r="141" ht="14.25" customHeight="1">
      <c r="A141" s="112" t="s">
        <v>681</v>
      </c>
      <c r="C141" s="112" t="s">
        <v>679</v>
      </c>
      <c r="D141" s="112" t="s">
        <v>682</v>
      </c>
    </row>
    <row r="142" ht="14.25" customHeight="1">
      <c r="A142" s="112" t="s">
        <v>681</v>
      </c>
      <c r="C142" s="112" t="s">
        <v>679</v>
      </c>
      <c r="D142" s="112" t="s">
        <v>683</v>
      </c>
    </row>
    <row r="143" ht="14.25" customHeight="1">
      <c r="A143" s="112" t="s">
        <v>684</v>
      </c>
      <c r="C143" s="112" t="s">
        <v>679</v>
      </c>
      <c r="D143" s="112" t="s">
        <v>685</v>
      </c>
    </row>
    <row r="144" ht="14.25" customHeight="1">
      <c r="A144" s="112" t="s">
        <v>686</v>
      </c>
      <c r="C144" s="112" t="s">
        <v>679</v>
      </c>
      <c r="D144" s="112" t="s">
        <v>687</v>
      </c>
    </row>
    <row r="145" ht="14.25" customHeight="1">
      <c r="A145" s="112" t="s">
        <v>688</v>
      </c>
      <c r="C145" s="112" t="s">
        <v>679</v>
      </c>
      <c r="D145" s="112" t="s">
        <v>689</v>
      </c>
    </row>
    <row r="146" ht="14.25" customHeight="1">
      <c r="A146" s="112" t="s">
        <v>690</v>
      </c>
      <c r="C146" s="112" t="s">
        <v>679</v>
      </c>
      <c r="D146" s="112" t="s">
        <v>691</v>
      </c>
    </row>
    <row r="147" ht="14.25" customHeight="1">
      <c r="A147" s="112" t="s">
        <v>692</v>
      </c>
      <c r="C147" s="112" t="s">
        <v>679</v>
      </c>
      <c r="D147" s="112" t="s">
        <v>693</v>
      </c>
    </row>
    <row r="148" ht="14.25" customHeight="1">
      <c r="A148" s="112" t="s">
        <v>694</v>
      </c>
      <c r="C148" s="112" t="s">
        <v>679</v>
      </c>
      <c r="D148" s="112" t="s">
        <v>695</v>
      </c>
    </row>
    <row r="149" ht="14.25" customHeight="1">
      <c r="A149" s="112" t="s">
        <v>644</v>
      </c>
      <c r="C149" s="112" t="s">
        <v>327</v>
      </c>
      <c r="D149" s="112" t="s">
        <v>696</v>
      </c>
    </row>
    <row r="150" ht="14.25" customHeight="1">
      <c r="A150" s="112" t="s">
        <v>697</v>
      </c>
      <c r="C150" s="112" t="s">
        <v>327</v>
      </c>
      <c r="D150" s="112" t="s">
        <v>698</v>
      </c>
    </row>
    <row r="151" ht="14.25" customHeight="1">
      <c r="A151" s="112" t="s">
        <v>699</v>
      </c>
      <c r="C151" s="112" t="s">
        <v>285</v>
      </c>
      <c r="D151" s="112" t="s">
        <v>700</v>
      </c>
    </row>
    <row r="152" ht="14.25" customHeight="1">
      <c r="A152" s="112" t="s">
        <v>701</v>
      </c>
      <c r="C152" s="112" t="s">
        <v>285</v>
      </c>
      <c r="D152" s="112" t="s">
        <v>702</v>
      </c>
    </row>
    <row r="153" ht="14.25" customHeight="1">
      <c r="A153" s="112" t="s">
        <v>703</v>
      </c>
      <c r="C153" s="112" t="s">
        <v>285</v>
      </c>
      <c r="D153" s="112" t="s">
        <v>704</v>
      </c>
    </row>
    <row r="154" ht="14.25" customHeight="1">
      <c r="A154" s="112" t="s">
        <v>705</v>
      </c>
      <c r="C154" s="112" t="s">
        <v>285</v>
      </c>
      <c r="D154" s="112" t="s">
        <v>706</v>
      </c>
    </row>
    <row r="155" ht="14.25" customHeight="1">
      <c r="A155" s="112" t="s">
        <v>707</v>
      </c>
      <c r="C155" s="112" t="s">
        <v>285</v>
      </c>
      <c r="D155" s="112" t="s">
        <v>708</v>
      </c>
    </row>
    <row r="156" ht="14.25" customHeight="1">
      <c r="A156" s="112" t="s">
        <v>709</v>
      </c>
      <c r="C156" s="112" t="s">
        <v>222</v>
      </c>
      <c r="D156" s="112" t="s">
        <v>710</v>
      </c>
    </row>
    <row r="157" ht="14.25" customHeight="1">
      <c r="A157" s="112" t="s">
        <v>711</v>
      </c>
      <c r="C157" s="112" t="s">
        <v>222</v>
      </c>
      <c r="D157" s="112" t="s">
        <v>712</v>
      </c>
    </row>
    <row r="158" ht="14.25" customHeight="1">
      <c r="A158" s="112" t="s">
        <v>713</v>
      </c>
      <c r="C158" s="112" t="s">
        <v>222</v>
      </c>
      <c r="D158" s="112" t="s">
        <v>714</v>
      </c>
    </row>
    <row r="159" ht="14.25" customHeight="1">
      <c r="A159" s="112" t="s">
        <v>715</v>
      </c>
      <c r="C159" s="112" t="s">
        <v>222</v>
      </c>
      <c r="D159" s="112" t="s">
        <v>716</v>
      </c>
    </row>
    <row r="160" ht="14.25" customHeight="1">
      <c r="A160" s="112" t="s">
        <v>717</v>
      </c>
      <c r="C160" s="112" t="s">
        <v>222</v>
      </c>
      <c r="D160" s="112" t="s">
        <v>718</v>
      </c>
    </row>
    <row r="161" ht="14.25" customHeight="1">
      <c r="A161" s="112" t="s">
        <v>719</v>
      </c>
      <c r="C161" s="112" t="s">
        <v>222</v>
      </c>
      <c r="D161" s="112" t="s">
        <v>720</v>
      </c>
    </row>
    <row r="162" ht="14.25" customHeight="1">
      <c r="A162" s="112" t="s">
        <v>721</v>
      </c>
      <c r="C162" s="112" t="s">
        <v>222</v>
      </c>
      <c r="D162" s="112" t="s">
        <v>722</v>
      </c>
    </row>
    <row r="163" ht="14.25" customHeight="1">
      <c r="A163" s="112" t="s">
        <v>723</v>
      </c>
      <c r="C163" s="112" t="s">
        <v>222</v>
      </c>
      <c r="D163" s="112" t="s">
        <v>724</v>
      </c>
    </row>
    <row r="164" ht="14.25" customHeight="1">
      <c r="A164" s="112" t="s">
        <v>725</v>
      </c>
      <c r="C164" s="112" t="s">
        <v>214</v>
      </c>
      <c r="D164" s="112" t="s">
        <v>726</v>
      </c>
    </row>
    <row r="165" ht="14.25" customHeight="1">
      <c r="A165" s="112" t="s">
        <v>727</v>
      </c>
      <c r="C165" s="112" t="s">
        <v>214</v>
      </c>
      <c r="D165" s="112" t="s">
        <v>728</v>
      </c>
    </row>
    <row r="166" ht="14.25" customHeight="1">
      <c r="A166" s="112" t="s">
        <v>729</v>
      </c>
      <c r="C166" s="112" t="s">
        <v>214</v>
      </c>
      <c r="D166" s="112" t="s">
        <v>730</v>
      </c>
    </row>
    <row r="167" ht="14.25" customHeight="1">
      <c r="A167" s="112" t="s">
        <v>731</v>
      </c>
      <c r="C167" s="112" t="s">
        <v>214</v>
      </c>
      <c r="D167" s="112" t="s">
        <v>732</v>
      </c>
    </row>
    <row r="168" ht="14.25" customHeight="1">
      <c r="A168" s="112" t="s">
        <v>733</v>
      </c>
      <c r="C168" s="112" t="s">
        <v>214</v>
      </c>
      <c r="D168" s="112" t="s">
        <v>734</v>
      </c>
    </row>
    <row r="169" ht="14.25" customHeight="1">
      <c r="A169" s="112" t="s">
        <v>735</v>
      </c>
      <c r="C169" s="112" t="s">
        <v>312</v>
      </c>
      <c r="D169" s="112" t="s">
        <v>736</v>
      </c>
    </row>
    <row r="170" ht="14.25" customHeight="1">
      <c r="A170" s="112" t="s">
        <v>737</v>
      </c>
      <c r="C170" s="112" t="s">
        <v>312</v>
      </c>
      <c r="D170" s="112" t="s">
        <v>738</v>
      </c>
    </row>
    <row r="171" ht="14.25" customHeight="1">
      <c r="A171" s="112" t="s">
        <v>739</v>
      </c>
      <c r="C171" s="112" t="s">
        <v>312</v>
      </c>
      <c r="D171" s="112" t="s">
        <v>740</v>
      </c>
    </row>
    <row r="172" ht="14.25" customHeight="1">
      <c r="A172" s="112" t="s">
        <v>741</v>
      </c>
      <c r="C172" s="112" t="s">
        <v>312</v>
      </c>
      <c r="D172" s="112" t="s">
        <v>742</v>
      </c>
    </row>
    <row r="173" ht="14.25" customHeight="1">
      <c r="A173" s="112" t="s">
        <v>743</v>
      </c>
      <c r="C173" s="112" t="s">
        <v>312</v>
      </c>
      <c r="D173" s="112" t="s">
        <v>744</v>
      </c>
    </row>
    <row r="174" ht="14.25" customHeight="1">
      <c r="A174" s="112" t="s">
        <v>745</v>
      </c>
      <c r="C174" s="112" t="s">
        <v>306</v>
      </c>
      <c r="D174" s="112" t="s">
        <v>746</v>
      </c>
    </row>
    <row r="175" ht="14.25" customHeight="1">
      <c r="A175" s="112" t="s">
        <v>747</v>
      </c>
      <c r="C175" s="112" t="s">
        <v>306</v>
      </c>
      <c r="D175" s="112" t="s">
        <v>748</v>
      </c>
    </row>
    <row r="176" ht="14.25" customHeight="1">
      <c r="A176" s="112" t="s">
        <v>749</v>
      </c>
      <c r="C176" s="112" t="s">
        <v>306</v>
      </c>
      <c r="D176" s="112" t="s">
        <v>750</v>
      </c>
    </row>
    <row r="177" ht="14.25" customHeight="1">
      <c r="A177" s="112" t="s">
        <v>751</v>
      </c>
      <c r="C177" s="112" t="s">
        <v>306</v>
      </c>
      <c r="D177" s="112" t="s">
        <v>752</v>
      </c>
    </row>
    <row r="178" ht="14.25" customHeight="1">
      <c r="A178" s="112" t="s">
        <v>753</v>
      </c>
      <c r="C178" s="112" t="s">
        <v>514</v>
      </c>
      <c r="D178" s="112" t="s">
        <v>754</v>
      </c>
    </row>
    <row r="179" ht="14.25" customHeight="1">
      <c r="A179" s="112" t="s">
        <v>755</v>
      </c>
      <c r="C179" s="112" t="s">
        <v>514</v>
      </c>
      <c r="D179" s="112" t="s">
        <v>756</v>
      </c>
    </row>
    <row r="180" ht="14.25" customHeight="1">
      <c r="A180" s="112" t="s">
        <v>757</v>
      </c>
      <c r="C180" s="112" t="s">
        <v>514</v>
      </c>
      <c r="D180" s="112" t="s">
        <v>758</v>
      </c>
    </row>
    <row r="181" ht="14.25" customHeight="1">
      <c r="A181" s="112" t="s">
        <v>759</v>
      </c>
      <c r="C181" s="112" t="s">
        <v>514</v>
      </c>
      <c r="D181" s="112" t="s">
        <v>760</v>
      </c>
    </row>
    <row r="182" ht="14.25" customHeight="1">
      <c r="A182" s="112" t="s">
        <v>761</v>
      </c>
      <c r="C182" s="112" t="s">
        <v>762</v>
      </c>
      <c r="D182" s="112" t="s">
        <v>763</v>
      </c>
    </row>
    <row r="183" ht="14.25" customHeight="1">
      <c r="A183" s="112" t="s">
        <v>764</v>
      </c>
      <c r="C183" s="112" t="s">
        <v>765</v>
      </c>
      <c r="D183" s="112" t="s">
        <v>766</v>
      </c>
    </row>
    <row r="184" ht="14.25" customHeight="1">
      <c r="A184" s="112" t="s">
        <v>767</v>
      </c>
      <c r="C184" s="112" t="s">
        <v>765</v>
      </c>
      <c r="D184" s="112" t="s">
        <v>768</v>
      </c>
    </row>
    <row r="185" ht="14.25" customHeight="1">
      <c r="A185" s="112" t="s">
        <v>769</v>
      </c>
      <c r="C185" s="112" t="s">
        <v>765</v>
      </c>
      <c r="D185" s="112" t="s">
        <v>770</v>
      </c>
    </row>
    <row r="186" ht="14.25" customHeight="1">
      <c r="A186" s="112" t="s">
        <v>771</v>
      </c>
      <c r="C186" s="112" t="s">
        <v>317</v>
      </c>
      <c r="D186" s="112" t="s">
        <v>772</v>
      </c>
    </row>
    <row r="187" ht="14.25" customHeight="1">
      <c r="A187" s="112" t="s">
        <v>773</v>
      </c>
      <c r="C187" s="112" t="s">
        <v>317</v>
      </c>
      <c r="D187" s="112" t="s">
        <v>774</v>
      </c>
    </row>
    <row r="188" ht="14.25" customHeight="1">
      <c r="A188" s="112" t="s">
        <v>775</v>
      </c>
      <c r="C188" s="112" t="s">
        <v>317</v>
      </c>
      <c r="D188" s="112" t="s">
        <v>776</v>
      </c>
    </row>
    <row r="189" ht="14.25" customHeight="1">
      <c r="A189" s="112" t="s">
        <v>777</v>
      </c>
      <c r="C189" s="112" t="s">
        <v>170</v>
      </c>
      <c r="D189" s="112" t="s">
        <v>778</v>
      </c>
    </row>
    <row r="190" ht="14.25" customHeight="1">
      <c r="A190" s="112" t="s">
        <v>779</v>
      </c>
      <c r="C190" s="112" t="s">
        <v>170</v>
      </c>
      <c r="D190" s="112" t="s">
        <v>780</v>
      </c>
    </row>
    <row r="191" ht="14.25" customHeight="1">
      <c r="A191" s="112" t="s">
        <v>781</v>
      </c>
      <c r="C191" s="112" t="s">
        <v>170</v>
      </c>
      <c r="D191" s="112" t="s">
        <v>782</v>
      </c>
    </row>
    <row r="192" ht="14.25" customHeight="1">
      <c r="A192" s="112" t="s">
        <v>783</v>
      </c>
      <c r="C192" s="112" t="s">
        <v>138</v>
      </c>
      <c r="D192" s="112" t="s">
        <v>784</v>
      </c>
    </row>
    <row r="193" ht="14.25" customHeight="1">
      <c r="A193" s="112" t="s">
        <v>785</v>
      </c>
      <c r="C193" s="112" t="s">
        <v>138</v>
      </c>
      <c r="D193" s="112" t="s">
        <v>786</v>
      </c>
    </row>
    <row r="194" ht="14.25" customHeight="1">
      <c r="A194" s="112" t="s">
        <v>787</v>
      </c>
      <c r="C194" s="112" t="s">
        <v>138</v>
      </c>
      <c r="D194" s="112" t="s">
        <v>788</v>
      </c>
    </row>
    <row r="195" ht="14.25" customHeight="1">
      <c r="A195" s="112" t="s">
        <v>789</v>
      </c>
      <c r="C195" s="112" t="s">
        <v>138</v>
      </c>
      <c r="D195" s="112" t="s">
        <v>790</v>
      </c>
    </row>
    <row r="196" ht="14.25" customHeight="1">
      <c r="A196" s="112" t="s">
        <v>791</v>
      </c>
      <c r="C196" s="112" t="s">
        <v>138</v>
      </c>
      <c r="D196" s="112" t="s">
        <v>792</v>
      </c>
    </row>
    <row r="197" ht="14.25" customHeight="1">
      <c r="A197" s="112" t="s">
        <v>793</v>
      </c>
      <c r="C197" s="112" t="s">
        <v>138</v>
      </c>
      <c r="D197" s="112" t="s">
        <v>794</v>
      </c>
    </row>
    <row r="198" ht="14.25" customHeight="1">
      <c r="A198" s="112" t="s">
        <v>795</v>
      </c>
      <c r="C198" s="112" t="s">
        <v>796</v>
      </c>
      <c r="D198" s="112" t="s">
        <v>797</v>
      </c>
    </row>
    <row r="199" ht="14.25" customHeight="1">
      <c r="A199" s="112" t="s">
        <v>798</v>
      </c>
      <c r="C199" s="112" t="s">
        <v>796</v>
      </c>
      <c r="D199" s="112" t="s">
        <v>799</v>
      </c>
    </row>
    <row r="200" ht="14.25" customHeight="1">
      <c r="A200" s="112" t="s">
        <v>800</v>
      </c>
      <c r="C200" s="112" t="s">
        <v>796</v>
      </c>
      <c r="D200" s="112" t="s">
        <v>801</v>
      </c>
    </row>
    <row r="201" ht="14.25" customHeight="1">
      <c r="A201" s="112" t="s">
        <v>802</v>
      </c>
      <c r="C201" s="112" t="s">
        <v>796</v>
      </c>
      <c r="D201" s="112" t="s">
        <v>803</v>
      </c>
    </row>
    <row r="202" ht="14.25" customHeight="1">
      <c r="A202" s="112" t="s">
        <v>804</v>
      </c>
      <c r="C202" s="112" t="s">
        <v>796</v>
      </c>
      <c r="D202" s="112" t="s">
        <v>805</v>
      </c>
    </row>
    <row r="203" ht="14.25" customHeight="1">
      <c r="A203" s="112" t="s">
        <v>806</v>
      </c>
      <c r="C203" s="112" t="s">
        <v>796</v>
      </c>
      <c r="D203" s="112" t="s">
        <v>807</v>
      </c>
    </row>
    <row r="204" ht="14.25" customHeight="1">
      <c r="A204" s="112" t="s">
        <v>808</v>
      </c>
      <c r="C204" s="112" t="s">
        <v>796</v>
      </c>
      <c r="D204" s="112" t="s">
        <v>809</v>
      </c>
    </row>
    <row r="205" ht="14.25" customHeight="1">
      <c r="A205" s="112" t="s">
        <v>810</v>
      </c>
      <c r="C205" s="112" t="s">
        <v>796</v>
      </c>
      <c r="D205" s="112" t="s">
        <v>811</v>
      </c>
    </row>
    <row r="206" ht="14.25" customHeight="1">
      <c r="A206" s="112" t="s">
        <v>812</v>
      </c>
      <c r="C206" s="112" t="s">
        <v>66</v>
      </c>
      <c r="D206" s="112" t="s">
        <v>813</v>
      </c>
    </row>
    <row r="207" ht="14.25" customHeight="1">
      <c r="A207" s="112" t="s">
        <v>814</v>
      </c>
      <c r="C207" s="112" t="s">
        <v>62</v>
      </c>
      <c r="D207" s="112" t="s">
        <v>815</v>
      </c>
    </row>
    <row r="208" ht="14.25" customHeight="1">
      <c r="A208" s="112" t="s">
        <v>816</v>
      </c>
      <c r="C208" s="112" t="s">
        <v>62</v>
      </c>
      <c r="D208" s="112" t="s">
        <v>817</v>
      </c>
    </row>
    <row r="209" ht="14.25" customHeight="1">
      <c r="A209" s="112" t="s">
        <v>818</v>
      </c>
      <c r="C209" s="112" t="s">
        <v>819</v>
      </c>
      <c r="D209" s="112" t="s">
        <v>820</v>
      </c>
    </row>
    <row r="210" ht="14.25" customHeight="1">
      <c r="A210" s="112" t="s">
        <v>821</v>
      </c>
      <c r="C210" s="112" t="s">
        <v>819</v>
      </c>
      <c r="D210" s="112" t="s">
        <v>822</v>
      </c>
    </row>
    <row r="211" ht="14.25" customHeight="1">
      <c r="A211" s="112" t="s">
        <v>823</v>
      </c>
      <c r="C211" s="112" t="s">
        <v>824</v>
      </c>
      <c r="D211" s="112" t="s">
        <v>825</v>
      </c>
    </row>
    <row r="212" ht="14.25" customHeight="1">
      <c r="A212" s="112" t="s">
        <v>826</v>
      </c>
      <c r="C212" s="112" t="s">
        <v>824</v>
      </c>
      <c r="D212" s="112" t="s">
        <v>827</v>
      </c>
    </row>
    <row r="213" ht="14.25" customHeight="1">
      <c r="A213" s="112" t="s">
        <v>823</v>
      </c>
      <c r="C213" s="112" t="s">
        <v>824</v>
      </c>
      <c r="D213" s="112" t="s">
        <v>828</v>
      </c>
    </row>
    <row r="214" ht="14.25" customHeight="1">
      <c r="A214" s="112" t="s">
        <v>823</v>
      </c>
      <c r="C214" s="112" t="s">
        <v>824</v>
      </c>
      <c r="D214" s="112" t="s">
        <v>829</v>
      </c>
    </row>
    <row r="215" ht="14.25" customHeight="1">
      <c r="A215" s="112" t="s">
        <v>830</v>
      </c>
      <c r="C215" s="112" t="s">
        <v>824</v>
      </c>
      <c r="D215" s="112" t="s">
        <v>831</v>
      </c>
    </row>
    <row r="216" ht="14.25" customHeight="1">
      <c r="A216" s="112" t="s">
        <v>832</v>
      </c>
      <c r="C216" s="112" t="s">
        <v>824</v>
      </c>
      <c r="D216" s="112" t="s">
        <v>833</v>
      </c>
    </row>
    <row r="217" ht="14.25" customHeight="1">
      <c r="A217" s="112" t="s">
        <v>834</v>
      </c>
      <c r="C217" s="112" t="s">
        <v>824</v>
      </c>
      <c r="D217" s="112" t="s">
        <v>835</v>
      </c>
    </row>
    <row r="218" ht="14.25" customHeight="1">
      <c r="A218" s="112" t="s">
        <v>836</v>
      </c>
      <c r="C218" s="112" t="s">
        <v>837</v>
      </c>
      <c r="D218" s="112" t="s">
        <v>838</v>
      </c>
    </row>
    <row r="219" ht="14.25" customHeight="1">
      <c r="A219" s="112" t="s">
        <v>836</v>
      </c>
      <c r="C219" s="112" t="s">
        <v>837</v>
      </c>
      <c r="D219" s="112" t="s">
        <v>839</v>
      </c>
    </row>
    <row r="220" ht="14.25" customHeight="1">
      <c r="A220" s="112" t="s">
        <v>836</v>
      </c>
      <c r="C220" s="112" t="s">
        <v>837</v>
      </c>
      <c r="D220" s="112" t="s">
        <v>840</v>
      </c>
    </row>
    <row r="221" ht="14.25" customHeight="1">
      <c r="A221" s="112" t="s">
        <v>841</v>
      </c>
      <c r="C221" s="112" t="s">
        <v>837</v>
      </c>
      <c r="D221" s="112" t="s">
        <v>842</v>
      </c>
    </row>
    <row r="222" ht="14.25" customHeight="1">
      <c r="A222" s="112" t="s">
        <v>843</v>
      </c>
      <c r="C222" s="112" t="s">
        <v>837</v>
      </c>
      <c r="D222" s="112" t="s">
        <v>844</v>
      </c>
    </row>
    <row r="223" ht="14.25" customHeight="1">
      <c r="A223" s="112" t="s">
        <v>845</v>
      </c>
      <c r="C223" s="112" t="s">
        <v>837</v>
      </c>
      <c r="D223" s="112" t="s">
        <v>846</v>
      </c>
    </row>
    <row r="224" ht="14.25" customHeight="1">
      <c r="A224" s="112" t="s">
        <v>847</v>
      </c>
      <c r="C224" s="112" t="s">
        <v>837</v>
      </c>
      <c r="D224" s="112" t="s">
        <v>848</v>
      </c>
    </row>
    <row r="225" ht="14.25" customHeight="1">
      <c r="A225" s="112" t="s">
        <v>849</v>
      </c>
      <c r="C225" s="112" t="s">
        <v>837</v>
      </c>
      <c r="D225" s="112" t="s">
        <v>850</v>
      </c>
    </row>
    <row r="226" ht="14.25" customHeight="1">
      <c r="A226" s="112" t="s">
        <v>851</v>
      </c>
      <c r="C226" s="112" t="s">
        <v>837</v>
      </c>
      <c r="D226" s="112" t="s">
        <v>852</v>
      </c>
    </row>
    <row r="227" ht="14.25" customHeight="1">
      <c r="A227" s="112" t="s">
        <v>853</v>
      </c>
      <c r="C227" s="112" t="s">
        <v>837</v>
      </c>
      <c r="D227" s="112" t="s">
        <v>854</v>
      </c>
    </row>
    <row r="228" ht="14.25" customHeight="1">
      <c r="A228" s="112" t="s">
        <v>855</v>
      </c>
      <c r="C228" s="112" t="s">
        <v>837</v>
      </c>
      <c r="D228" s="112" t="s">
        <v>856</v>
      </c>
    </row>
    <row r="229" ht="14.25" customHeight="1">
      <c r="A229" s="112" t="s">
        <v>857</v>
      </c>
      <c r="C229" s="112" t="s">
        <v>858</v>
      </c>
      <c r="D229" s="112" t="s">
        <v>859</v>
      </c>
    </row>
    <row r="230" ht="14.25" customHeight="1">
      <c r="A230" s="112" t="s">
        <v>860</v>
      </c>
      <c r="C230" s="112" t="s">
        <v>858</v>
      </c>
      <c r="D230" s="112" t="s">
        <v>861</v>
      </c>
    </row>
    <row r="231" ht="14.25" customHeight="1">
      <c r="A231" s="112" t="s">
        <v>862</v>
      </c>
      <c r="C231" s="112" t="s">
        <v>858</v>
      </c>
      <c r="D231" s="112" t="s">
        <v>863</v>
      </c>
    </row>
    <row r="232" ht="14.25" customHeight="1">
      <c r="A232" s="112" t="s">
        <v>864</v>
      </c>
      <c r="C232" s="112" t="s">
        <v>858</v>
      </c>
      <c r="D232" s="112" t="s">
        <v>865</v>
      </c>
    </row>
    <row r="233" ht="14.25" customHeight="1">
      <c r="A233" s="112" t="s">
        <v>866</v>
      </c>
      <c r="C233" s="112" t="s">
        <v>547</v>
      </c>
      <c r="D233" s="112" t="s">
        <v>867</v>
      </c>
    </row>
    <row r="234" ht="14.25" customHeight="1">
      <c r="A234" s="112" t="s">
        <v>868</v>
      </c>
      <c r="C234" s="112" t="s">
        <v>547</v>
      </c>
      <c r="D234" s="112" t="s">
        <v>869</v>
      </c>
    </row>
    <row r="235" ht="14.25" customHeight="1">
      <c r="A235" s="112" t="s">
        <v>870</v>
      </c>
      <c r="C235" s="112" t="s">
        <v>547</v>
      </c>
      <c r="D235" s="112" t="s">
        <v>871</v>
      </c>
    </row>
    <row r="236" ht="14.25" customHeight="1">
      <c r="A236" s="112" t="s">
        <v>872</v>
      </c>
      <c r="C236" s="112" t="s">
        <v>547</v>
      </c>
      <c r="D236" s="112" t="s">
        <v>873</v>
      </c>
    </row>
    <row r="237" ht="14.25" customHeight="1">
      <c r="A237" s="112" t="s">
        <v>874</v>
      </c>
      <c r="C237" s="112" t="s">
        <v>549</v>
      </c>
      <c r="D237" s="112" t="s">
        <v>875</v>
      </c>
    </row>
    <row r="238" ht="14.25" customHeight="1">
      <c r="A238" s="112" t="s">
        <v>876</v>
      </c>
      <c r="C238" s="112" t="s">
        <v>549</v>
      </c>
      <c r="D238" s="112" t="s">
        <v>877</v>
      </c>
    </row>
    <row r="239" ht="14.25" customHeight="1">
      <c r="A239" s="112" t="s">
        <v>878</v>
      </c>
      <c r="C239" s="112" t="s">
        <v>549</v>
      </c>
      <c r="D239" s="112" t="s">
        <v>879</v>
      </c>
    </row>
    <row r="240" ht="14.25" customHeight="1">
      <c r="A240" s="112" t="s">
        <v>880</v>
      </c>
      <c r="C240" s="112" t="s">
        <v>549</v>
      </c>
      <c r="D240" s="112" t="s">
        <v>881</v>
      </c>
    </row>
    <row r="241" ht="14.25" customHeight="1">
      <c r="A241" s="112" t="s">
        <v>882</v>
      </c>
      <c r="C241" s="112" t="s">
        <v>549</v>
      </c>
      <c r="D241" s="112" t="s">
        <v>883</v>
      </c>
    </row>
    <row r="242" ht="14.25" customHeight="1">
      <c r="A242" s="112" t="s">
        <v>884</v>
      </c>
      <c r="C242" s="112" t="s">
        <v>549</v>
      </c>
      <c r="D242" s="112" t="s">
        <v>885</v>
      </c>
    </row>
    <row r="243" ht="14.25" customHeight="1">
      <c r="A243" s="112" t="s">
        <v>886</v>
      </c>
      <c r="C243" s="112" t="s">
        <v>549</v>
      </c>
      <c r="D243" s="112" t="s">
        <v>887</v>
      </c>
    </row>
    <row r="244" ht="14.25" customHeight="1">
      <c r="A244" s="112" t="s">
        <v>888</v>
      </c>
      <c r="C244" s="112" t="s">
        <v>549</v>
      </c>
      <c r="D244" s="112" t="s">
        <v>889</v>
      </c>
    </row>
    <row r="245" ht="14.25" customHeight="1">
      <c r="A245" s="112" t="s">
        <v>890</v>
      </c>
      <c r="C245" s="112" t="s">
        <v>549</v>
      </c>
      <c r="D245" s="112" t="s">
        <v>891</v>
      </c>
    </row>
    <row r="246" ht="14.25" customHeight="1">
      <c r="A246" s="112" t="s">
        <v>892</v>
      </c>
      <c r="C246" s="112" t="s">
        <v>549</v>
      </c>
      <c r="D246" s="112" t="s">
        <v>893</v>
      </c>
    </row>
    <row r="247" ht="14.25" customHeight="1">
      <c r="A247" s="112" t="s">
        <v>894</v>
      </c>
      <c r="C247" s="112" t="s">
        <v>549</v>
      </c>
      <c r="D247" s="112" t="s">
        <v>895</v>
      </c>
    </row>
    <row r="248" ht="14.25" customHeight="1">
      <c r="A248" s="112" t="s">
        <v>896</v>
      </c>
      <c r="C248" s="112" t="s">
        <v>551</v>
      </c>
      <c r="D248" s="112" t="s">
        <v>897</v>
      </c>
    </row>
    <row r="249" ht="14.25" customHeight="1">
      <c r="A249" s="112" t="s">
        <v>898</v>
      </c>
      <c r="C249" s="112" t="s">
        <v>551</v>
      </c>
      <c r="D249" s="112" t="s">
        <v>899</v>
      </c>
    </row>
    <row r="250" ht="14.25" customHeight="1">
      <c r="A250" s="112" t="s">
        <v>900</v>
      </c>
      <c r="C250" s="112" t="s">
        <v>551</v>
      </c>
      <c r="D250" s="112" t="s">
        <v>901</v>
      </c>
    </row>
    <row r="251" ht="14.25" customHeight="1">
      <c r="A251" s="112" t="s">
        <v>902</v>
      </c>
      <c r="C251" s="112" t="s">
        <v>551</v>
      </c>
      <c r="D251" s="112" t="s">
        <v>903</v>
      </c>
    </row>
    <row r="252" ht="14.25" customHeight="1">
      <c r="A252" s="112" t="s">
        <v>904</v>
      </c>
      <c r="C252" s="112" t="s">
        <v>551</v>
      </c>
      <c r="D252" s="112" t="s">
        <v>905</v>
      </c>
    </row>
    <row r="253" ht="14.25" customHeight="1">
      <c r="A253" s="112" t="s">
        <v>906</v>
      </c>
      <c r="C253" s="112" t="s">
        <v>907</v>
      </c>
      <c r="D253" s="112" t="s">
        <v>908</v>
      </c>
    </row>
    <row r="254" ht="14.25" customHeight="1">
      <c r="A254" s="112" t="s">
        <v>909</v>
      </c>
      <c r="C254" s="112" t="s">
        <v>907</v>
      </c>
      <c r="D254" s="112" t="s">
        <v>910</v>
      </c>
    </row>
    <row r="255" ht="14.25" customHeight="1">
      <c r="A255" s="112" t="s">
        <v>911</v>
      </c>
      <c r="C255" s="112" t="s">
        <v>907</v>
      </c>
      <c r="D255" s="112" t="s">
        <v>912</v>
      </c>
    </row>
    <row r="256" ht="14.25" customHeight="1">
      <c r="A256" s="112" t="s">
        <v>913</v>
      </c>
      <c r="C256" s="112" t="s">
        <v>907</v>
      </c>
      <c r="D256" s="112" t="s">
        <v>914</v>
      </c>
    </row>
    <row r="257" ht="14.25" customHeight="1">
      <c r="A257" s="112" t="s">
        <v>915</v>
      </c>
      <c r="C257" s="112" t="s">
        <v>907</v>
      </c>
      <c r="D257" s="112" t="s">
        <v>916</v>
      </c>
    </row>
    <row r="258" ht="14.25" customHeight="1">
      <c r="A258" s="112" t="s">
        <v>915</v>
      </c>
      <c r="C258" s="112" t="s">
        <v>907</v>
      </c>
      <c r="D258" s="112" t="s">
        <v>917</v>
      </c>
    </row>
    <row r="259" ht="14.25" customHeight="1">
      <c r="A259" s="112" t="s">
        <v>918</v>
      </c>
      <c r="C259" s="112" t="s">
        <v>907</v>
      </c>
      <c r="D259" s="112" t="s">
        <v>919</v>
      </c>
    </row>
    <row r="260" ht="14.25" customHeight="1">
      <c r="A260" s="112" t="s">
        <v>915</v>
      </c>
      <c r="C260" s="112" t="s">
        <v>907</v>
      </c>
      <c r="D260" s="112" t="s">
        <v>920</v>
      </c>
    </row>
    <row r="261" ht="14.25" customHeight="1">
      <c r="A261" s="112" t="s">
        <v>915</v>
      </c>
      <c r="C261" s="112" t="s">
        <v>907</v>
      </c>
      <c r="D261" s="112" t="s">
        <v>921</v>
      </c>
    </row>
    <row r="262" ht="14.25" customHeight="1">
      <c r="A262" s="112" t="s">
        <v>922</v>
      </c>
      <c r="C262" s="112" t="s">
        <v>907</v>
      </c>
      <c r="D262" s="112" t="s">
        <v>923</v>
      </c>
    </row>
    <row r="263" ht="14.25" customHeight="1">
      <c r="A263" s="112" t="s">
        <v>924</v>
      </c>
      <c r="C263" s="112" t="s">
        <v>907</v>
      </c>
      <c r="D263" s="112" t="s">
        <v>925</v>
      </c>
    </row>
    <row r="264" ht="14.25" customHeight="1">
      <c r="A264" s="112" t="s">
        <v>926</v>
      </c>
      <c r="C264" s="112" t="s">
        <v>907</v>
      </c>
      <c r="D264" s="112" t="s">
        <v>927</v>
      </c>
    </row>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2:B77">
      <formula1>#REF!</formula1>
    </dataValidation>
    <dataValidation type="list" allowBlank="1" showErrorMessage="1" sqref="C2:C77">
      <formula1>'Hydro Plant Data'!$A$2:$A$92</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4.71"/>
    <col customWidth="1" min="3" max="26" width="8.71"/>
  </cols>
  <sheetData>
    <row r="1" ht="14.25" customHeight="1">
      <c r="A1" s="112" t="s">
        <v>0</v>
      </c>
      <c r="B1" s="112" t="s">
        <v>1127</v>
      </c>
      <c r="C1" s="112" t="s">
        <v>1050</v>
      </c>
    </row>
    <row r="2" ht="14.25" customHeight="1">
      <c r="A2" s="112" t="s">
        <v>557</v>
      </c>
      <c r="B2" s="112" t="s">
        <v>1126</v>
      </c>
      <c r="C2" s="112" t="s">
        <v>558</v>
      </c>
    </row>
    <row r="3" ht="14.25" customHeight="1">
      <c r="A3" s="112" t="s">
        <v>557</v>
      </c>
      <c r="B3" s="112" t="s">
        <v>1126</v>
      </c>
      <c r="C3" s="112" t="s">
        <v>559</v>
      </c>
    </row>
    <row r="4" ht="14.25" customHeight="1">
      <c r="A4" s="112" t="s">
        <v>557</v>
      </c>
      <c r="B4" s="112" t="s">
        <v>1126</v>
      </c>
      <c r="C4" s="112" t="s">
        <v>560</v>
      </c>
    </row>
    <row r="5" ht="14.25" customHeight="1">
      <c r="A5" s="112" t="s">
        <v>561</v>
      </c>
      <c r="B5" s="112" t="s">
        <v>1126</v>
      </c>
      <c r="C5" s="112" t="s">
        <v>562</v>
      </c>
    </row>
    <row r="6" ht="14.25" customHeight="1">
      <c r="A6" s="112" t="s">
        <v>563</v>
      </c>
      <c r="B6" s="112" t="s">
        <v>1126</v>
      </c>
      <c r="C6" s="112" t="s">
        <v>564</v>
      </c>
    </row>
    <row r="7" ht="14.25" customHeight="1">
      <c r="A7" s="112" t="s">
        <v>565</v>
      </c>
      <c r="B7" s="112" t="s">
        <v>94</v>
      </c>
      <c r="C7" s="112" t="s">
        <v>566</v>
      </c>
    </row>
    <row r="8" ht="14.25" customHeight="1">
      <c r="A8" s="112" t="s">
        <v>567</v>
      </c>
      <c r="B8" s="112" t="s">
        <v>94</v>
      </c>
      <c r="C8" s="112" t="s">
        <v>568</v>
      </c>
    </row>
    <row r="9" ht="14.25" customHeight="1">
      <c r="A9" s="112" t="s">
        <v>569</v>
      </c>
      <c r="B9" s="112" t="s">
        <v>94</v>
      </c>
      <c r="C9" s="112" t="s">
        <v>570</v>
      </c>
    </row>
    <row r="10" ht="14.25" customHeight="1">
      <c r="A10" s="112" t="s">
        <v>571</v>
      </c>
      <c r="B10" s="112" t="s">
        <v>94</v>
      </c>
      <c r="C10" s="112" t="s">
        <v>572</v>
      </c>
    </row>
    <row r="11" ht="14.25" customHeight="1">
      <c r="A11" s="112" t="s">
        <v>573</v>
      </c>
      <c r="B11" s="112" t="s">
        <v>94</v>
      </c>
      <c r="C11" s="112" t="s">
        <v>574</v>
      </c>
    </row>
    <row r="12" ht="14.25" customHeight="1">
      <c r="A12" s="112" t="s">
        <v>575</v>
      </c>
      <c r="B12" s="112" t="s">
        <v>72</v>
      </c>
      <c r="C12" s="112" t="s">
        <v>576</v>
      </c>
    </row>
    <row r="13" ht="14.25" customHeight="1">
      <c r="A13" s="112" t="s">
        <v>577</v>
      </c>
      <c r="B13" s="112" t="s">
        <v>72</v>
      </c>
      <c r="C13" s="112" t="s">
        <v>578</v>
      </c>
    </row>
    <row r="14" ht="14.25" customHeight="1">
      <c r="A14" s="112" t="s">
        <v>579</v>
      </c>
      <c r="B14" s="112" t="s">
        <v>72</v>
      </c>
      <c r="C14" s="112" t="s">
        <v>580</v>
      </c>
    </row>
    <row r="15" ht="14.25" customHeight="1">
      <c r="A15" s="112" t="s">
        <v>581</v>
      </c>
      <c r="B15" s="112" t="s">
        <v>72</v>
      </c>
      <c r="C15" s="112" t="s">
        <v>582</v>
      </c>
    </row>
    <row r="16" ht="14.25" customHeight="1">
      <c r="A16" s="112" t="s">
        <v>583</v>
      </c>
      <c r="B16" s="112" t="s">
        <v>72</v>
      </c>
      <c r="C16" s="112" t="s">
        <v>584</v>
      </c>
    </row>
    <row r="17" ht="14.25" customHeight="1">
      <c r="A17" s="112" t="s">
        <v>585</v>
      </c>
      <c r="B17" s="112" t="s">
        <v>72</v>
      </c>
      <c r="C17" s="112" t="s">
        <v>586</v>
      </c>
    </row>
    <row r="18" ht="14.25" customHeight="1">
      <c r="A18" s="112" t="s">
        <v>587</v>
      </c>
      <c r="B18" s="112" t="s">
        <v>118</v>
      </c>
      <c r="C18" s="112" t="s">
        <v>588</v>
      </c>
    </row>
    <row r="19" ht="14.25" customHeight="1">
      <c r="A19" s="112" t="s">
        <v>589</v>
      </c>
      <c r="B19" s="112" t="s">
        <v>118</v>
      </c>
      <c r="C19" s="112" t="s">
        <v>590</v>
      </c>
    </row>
    <row r="20" ht="14.25" customHeight="1">
      <c r="A20" s="112" t="s">
        <v>591</v>
      </c>
      <c r="B20" s="112" t="s">
        <v>118</v>
      </c>
      <c r="C20" s="112" t="s">
        <v>592</v>
      </c>
    </row>
    <row r="21" ht="14.25" customHeight="1">
      <c r="A21" s="112" t="s">
        <v>593</v>
      </c>
      <c r="B21" s="112" t="s">
        <v>118</v>
      </c>
      <c r="C21" s="112" t="s">
        <v>594</v>
      </c>
    </row>
    <row r="22" ht="14.25" customHeight="1">
      <c r="A22" s="112" t="s">
        <v>595</v>
      </c>
      <c r="B22" s="112" t="s">
        <v>118</v>
      </c>
      <c r="C22" s="112" t="s">
        <v>596</v>
      </c>
    </row>
    <row r="23" ht="14.25" customHeight="1">
      <c r="A23" s="112" t="s">
        <v>597</v>
      </c>
      <c r="B23" s="112" t="s">
        <v>118</v>
      </c>
      <c r="C23" s="112" t="s">
        <v>598</v>
      </c>
    </row>
    <row r="24" ht="14.25" customHeight="1">
      <c r="A24" s="112" t="s">
        <v>599</v>
      </c>
      <c r="B24" s="112" t="s">
        <v>118</v>
      </c>
      <c r="C24" s="112" t="s">
        <v>600</v>
      </c>
    </row>
    <row r="25" ht="14.25" customHeight="1">
      <c r="A25" s="112" t="s">
        <v>601</v>
      </c>
      <c r="B25" s="112" t="s">
        <v>118</v>
      </c>
      <c r="C25" s="112" t="s">
        <v>602</v>
      </c>
    </row>
    <row r="26" ht="14.25" customHeight="1">
      <c r="A26" s="112" t="s">
        <v>603</v>
      </c>
      <c r="B26" s="112" t="s">
        <v>118</v>
      </c>
      <c r="C26" s="112" t="s">
        <v>604</v>
      </c>
    </row>
    <row r="27" ht="14.25" customHeight="1">
      <c r="A27" s="112" t="s">
        <v>605</v>
      </c>
      <c r="B27" s="112" t="s">
        <v>118</v>
      </c>
      <c r="C27" s="112" t="s">
        <v>606</v>
      </c>
    </row>
    <row r="28" ht="14.25" customHeight="1">
      <c r="A28" s="112" t="s">
        <v>607</v>
      </c>
      <c r="B28" s="112" t="s">
        <v>118</v>
      </c>
      <c r="C28" s="112" t="s">
        <v>608</v>
      </c>
    </row>
    <row r="29" ht="14.25" customHeight="1">
      <c r="A29" s="112" t="s">
        <v>609</v>
      </c>
      <c r="B29" s="112" t="s">
        <v>118</v>
      </c>
      <c r="C29" s="112" t="s">
        <v>610</v>
      </c>
    </row>
    <row r="30" ht="14.25" customHeight="1">
      <c r="A30" s="112" t="s">
        <v>611</v>
      </c>
      <c r="B30" s="112" t="s">
        <v>118</v>
      </c>
      <c r="C30" s="112" t="s">
        <v>612</v>
      </c>
    </row>
    <row r="31" ht="14.25" customHeight="1">
      <c r="A31" s="112" t="s">
        <v>613</v>
      </c>
      <c r="B31" s="112" t="s">
        <v>614</v>
      </c>
      <c r="C31" s="112" t="s">
        <v>615</v>
      </c>
    </row>
    <row r="32" ht="14.25" customHeight="1">
      <c r="A32" s="112" t="s">
        <v>616</v>
      </c>
      <c r="B32" s="112" t="s">
        <v>614</v>
      </c>
      <c r="C32" s="112" t="s">
        <v>617</v>
      </c>
    </row>
    <row r="33" ht="14.25" customHeight="1">
      <c r="A33" s="112" t="s">
        <v>618</v>
      </c>
      <c r="B33" s="112" t="s">
        <v>614</v>
      </c>
      <c r="C33" s="112" t="s">
        <v>619</v>
      </c>
    </row>
    <row r="34" ht="14.25" customHeight="1">
      <c r="A34" s="112" t="s">
        <v>620</v>
      </c>
      <c r="B34" s="112" t="s">
        <v>614</v>
      </c>
      <c r="C34" s="112" t="s">
        <v>621</v>
      </c>
    </row>
    <row r="35" ht="14.25" customHeight="1">
      <c r="A35" s="112" t="s">
        <v>622</v>
      </c>
      <c r="B35" s="112" t="s">
        <v>623</v>
      </c>
      <c r="C35" s="112" t="s">
        <v>624</v>
      </c>
    </row>
    <row r="36" ht="14.25" customHeight="1">
      <c r="A36" s="112" t="s">
        <v>625</v>
      </c>
      <c r="B36" s="112" t="s">
        <v>623</v>
      </c>
      <c r="C36" s="112" t="s">
        <v>626</v>
      </c>
    </row>
    <row r="37" ht="14.25" customHeight="1">
      <c r="A37" s="112" t="s">
        <v>627</v>
      </c>
      <c r="B37" s="112" t="s">
        <v>628</v>
      </c>
      <c r="C37" s="112" t="s">
        <v>629</v>
      </c>
    </row>
    <row r="38" ht="14.25" customHeight="1">
      <c r="A38" s="112" t="s">
        <v>630</v>
      </c>
      <c r="B38" s="112" t="s">
        <v>389</v>
      </c>
      <c r="C38" s="112" t="s">
        <v>631</v>
      </c>
    </row>
    <row r="39" ht="14.25" customHeight="1">
      <c r="A39" s="112" t="s">
        <v>632</v>
      </c>
      <c r="B39" s="112" t="s">
        <v>389</v>
      </c>
      <c r="C39" s="112" t="s">
        <v>633</v>
      </c>
    </row>
    <row r="40" ht="14.25" customHeight="1">
      <c r="A40" s="112" t="s">
        <v>634</v>
      </c>
      <c r="B40" s="112" t="s">
        <v>389</v>
      </c>
      <c r="C40" s="112" t="s">
        <v>635</v>
      </c>
    </row>
    <row r="41" ht="14.25" customHeight="1">
      <c r="A41" s="112" t="s">
        <v>636</v>
      </c>
      <c r="B41" s="112" t="s">
        <v>389</v>
      </c>
      <c r="C41" s="112" t="s">
        <v>637</v>
      </c>
    </row>
    <row r="42" ht="14.25" customHeight="1">
      <c r="A42" s="112" t="s">
        <v>638</v>
      </c>
      <c r="B42" s="112" t="s">
        <v>389</v>
      </c>
      <c r="C42" s="112" t="s">
        <v>639</v>
      </c>
    </row>
    <row r="43" ht="14.25" customHeight="1">
      <c r="A43" s="112" t="s">
        <v>640</v>
      </c>
      <c r="B43" s="112" t="s">
        <v>386</v>
      </c>
      <c r="C43" s="112" t="s">
        <v>641</v>
      </c>
    </row>
    <row r="44" ht="14.25" customHeight="1">
      <c r="A44" s="112" t="s">
        <v>642</v>
      </c>
      <c r="B44" s="112" t="s">
        <v>386</v>
      </c>
      <c r="C44" s="112" t="s">
        <v>643</v>
      </c>
    </row>
    <row r="45" ht="14.25" customHeight="1">
      <c r="A45" s="112" t="s">
        <v>644</v>
      </c>
      <c r="B45" s="112" t="s">
        <v>51</v>
      </c>
      <c r="C45" s="112" t="s">
        <v>645</v>
      </c>
    </row>
    <row r="46" ht="14.25" customHeight="1">
      <c r="A46" s="112" t="s">
        <v>646</v>
      </c>
      <c r="B46" s="112" t="s">
        <v>51</v>
      </c>
      <c r="C46" s="112" t="s">
        <v>647</v>
      </c>
    </row>
    <row r="47" ht="14.25" customHeight="1">
      <c r="A47" s="112" t="s">
        <v>648</v>
      </c>
      <c r="B47" s="112" t="s">
        <v>51</v>
      </c>
      <c r="C47" s="112" t="s">
        <v>649</v>
      </c>
    </row>
    <row r="48" ht="14.25" customHeight="1">
      <c r="A48" s="112" t="s">
        <v>650</v>
      </c>
      <c r="B48" s="112" t="s">
        <v>51</v>
      </c>
      <c r="C48" s="112" t="s">
        <v>651</v>
      </c>
    </row>
    <row r="49" ht="14.25" customHeight="1">
      <c r="A49" s="112" t="s">
        <v>652</v>
      </c>
      <c r="B49" s="112" t="s">
        <v>51</v>
      </c>
      <c r="C49" s="112" t="s">
        <v>653</v>
      </c>
    </row>
    <row r="50" ht="14.25" customHeight="1">
      <c r="A50" s="112" t="s">
        <v>630</v>
      </c>
      <c r="B50" s="112" t="s">
        <v>56</v>
      </c>
      <c r="C50" s="112" t="s">
        <v>654</v>
      </c>
    </row>
    <row r="51" ht="14.25" customHeight="1">
      <c r="A51" s="112" t="s">
        <v>655</v>
      </c>
      <c r="B51" s="112" t="s">
        <v>56</v>
      </c>
      <c r="C51" s="112" t="s">
        <v>656</v>
      </c>
    </row>
    <row r="52" ht="14.25" customHeight="1">
      <c r="A52" s="112" t="s">
        <v>657</v>
      </c>
      <c r="B52" s="112" t="s">
        <v>56</v>
      </c>
      <c r="C52" s="112" t="s">
        <v>658</v>
      </c>
    </row>
    <row r="53" ht="14.25" customHeight="1">
      <c r="A53" s="112" t="s">
        <v>659</v>
      </c>
      <c r="B53" s="112" t="s">
        <v>56</v>
      </c>
      <c r="C53" s="112" t="s">
        <v>660</v>
      </c>
    </row>
    <row r="54" ht="14.25" customHeight="1">
      <c r="A54" s="112" t="s">
        <v>638</v>
      </c>
      <c r="B54" s="112" t="s">
        <v>56</v>
      </c>
      <c r="C54" s="112" t="s">
        <v>661</v>
      </c>
    </row>
    <row r="55" ht="14.25" customHeight="1">
      <c r="A55" s="112" t="s">
        <v>640</v>
      </c>
      <c r="B55" s="112" t="s">
        <v>59</v>
      </c>
      <c r="C55" s="112" t="s">
        <v>662</v>
      </c>
    </row>
    <row r="56" ht="14.25" customHeight="1">
      <c r="A56" s="112" t="s">
        <v>663</v>
      </c>
      <c r="B56" s="112" t="s">
        <v>59</v>
      </c>
      <c r="C56" s="112" t="s">
        <v>664</v>
      </c>
    </row>
    <row r="57" ht="14.25" customHeight="1">
      <c r="A57" s="112" t="s">
        <v>642</v>
      </c>
      <c r="B57" s="112" t="s">
        <v>59</v>
      </c>
      <c r="C57" s="112" t="s">
        <v>665</v>
      </c>
    </row>
    <row r="58" ht="14.25" customHeight="1">
      <c r="A58" s="112" t="s">
        <v>666</v>
      </c>
      <c r="B58" s="112" t="s">
        <v>382</v>
      </c>
      <c r="C58" s="112" t="s">
        <v>667</v>
      </c>
    </row>
    <row r="59" ht="14.25" customHeight="1">
      <c r="A59" s="112" t="s">
        <v>668</v>
      </c>
      <c r="B59" s="112" t="s">
        <v>382</v>
      </c>
      <c r="C59" s="112" t="s">
        <v>669</v>
      </c>
    </row>
    <row r="60" ht="14.25" customHeight="1">
      <c r="A60" s="112" t="s">
        <v>670</v>
      </c>
      <c r="B60" s="112" t="s">
        <v>382</v>
      </c>
      <c r="C60" s="112" t="s">
        <v>671</v>
      </c>
    </row>
    <row r="61" ht="14.25" customHeight="1">
      <c r="A61" s="112" t="s">
        <v>672</v>
      </c>
      <c r="B61" s="112" t="s">
        <v>382</v>
      </c>
      <c r="C61" s="112" t="s">
        <v>673</v>
      </c>
    </row>
    <row r="62" ht="14.25" customHeight="1">
      <c r="A62" s="112" t="s">
        <v>674</v>
      </c>
      <c r="B62" s="112" t="s">
        <v>382</v>
      </c>
      <c r="C62" s="112" t="s">
        <v>675</v>
      </c>
    </row>
    <row r="63" ht="14.25" customHeight="1">
      <c r="A63" s="112" t="s">
        <v>676</v>
      </c>
      <c r="B63" s="112" t="s">
        <v>382</v>
      </c>
      <c r="C63" s="112" t="s">
        <v>677</v>
      </c>
    </row>
    <row r="64" ht="14.25" customHeight="1">
      <c r="A64" s="112" t="s">
        <v>678</v>
      </c>
      <c r="B64" s="112" t="s">
        <v>679</v>
      </c>
      <c r="C64" s="112" t="s">
        <v>680</v>
      </c>
    </row>
    <row r="65" ht="14.25" customHeight="1">
      <c r="A65" s="112" t="s">
        <v>681</v>
      </c>
      <c r="B65" s="112" t="s">
        <v>679</v>
      </c>
      <c r="C65" s="112" t="s">
        <v>682</v>
      </c>
    </row>
    <row r="66" ht="14.25" customHeight="1">
      <c r="A66" s="112" t="s">
        <v>681</v>
      </c>
      <c r="B66" s="112" t="s">
        <v>679</v>
      </c>
      <c r="C66" s="112" t="s">
        <v>683</v>
      </c>
    </row>
    <row r="67" ht="14.25" customHeight="1">
      <c r="A67" s="112" t="s">
        <v>684</v>
      </c>
      <c r="B67" s="112" t="s">
        <v>679</v>
      </c>
      <c r="C67" s="112" t="s">
        <v>685</v>
      </c>
    </row>
    <row r="68" ht="14.25" customHeight="1">
      <c r="A68" s="112" t="s">
        <v>686</v>
      </c>
      <c r="B68" s="112" t="s">
        <v>679</v>
      </c>
      <c r="C68" s="112" t="s">
        <v>687</v>
      </c>
    </row>
    <row r="69" ht="14.25" customHeight="1">
      <c r="A69" s="112" t="s">
        <v>688</v>
      </c>
      <c r="B69" s="112" t="s">
        <v>679</v>
      </c>
      <c r="C69" s="112" t="s">
        <v>689</v>
      </c>
    </row>
    <row r="70" ht="14.25" customHeight="1">
      <c r="A70" s="112" t="s">
        <v>690</v>
      </c>
      <c r="B70" s="112" t="s">
        <v>679</v>
      </c>
      <c r="C70" s="112" t="s">
        <v>691</v>
      </c>
    </row>
    <row r="71" ht="14.25" customHeight="1">
      <c r="A71" s="112" t="s">
        <v>692</v>
      </c>
      <c r="B71" s="112" t="s">
        <v>679</v>
      </c>
      <c r="C71" s="112" t="s">
        <v>693</v>
      </c>
    </row>
    <row r="72" ht="14.25" customHeight="1">
      <c r="A72" s="112" t="s">
        <v>694</v>
      </c>
      <c r="B72" s="112" t="s">
        <v>679</v>
      </c>
      <c r="C72" s="112" t="s">
        <v>695</v>
      </c>
    </row>
    <row r="73" ht="14.25" customHeight="1">
      <c r="A73" s="112" t="s">
        <v>644</v>
      </c>
      <c r="B73" s="112" t="s">
        <v>327</v>
      </c>
      <c r="C73" s="112" t="s">
        <v>696</v>
      </c>
    </row>
    <row r="74" ht="14.25" customHeight="1">
      <c r="A74" s="112" t="s">
        <v>697</v>
      </c>
      <c r="B74" s="112" t="s">
        <v>327</v>
      </c>
      <c r="C74" s="112" t="s">
        <v>698</v>
      </c>
    </row>
    <row r="75" ht="14.25" customHeight="1">
      <c r="A75" s="112" t="s">
        <v>699</v>
      </c>
      <c r="B75" s="112" t="s">
        <v>285</v>
      </c>
      <c r="C75" s="112" t="s">
        <v>700</v>
      </c>
    </row>
    <row r="76" ht="14.25" customHeight="1">
      <c r="A76" s="112" t="s">
        <v>701</v>
      </c>
      <c r="B76" s="112" t="s">
        <v>285</v>
      </c>
      <c r="C76" s="112" t="s">
        <v>702</v>
      </c>
    </row>
    <row r="77" ht="14.25" customHeight="1">
      <c r="A77" s="112" t="s">
        <v>703</v>
      </c>
      <c r="B77" s="112" t="s">
        <v>285</v>
      </c>
      <c r="C77" s="112" t="s">
        <v>704</v>
      </c>
    </row>
    <row r="78" ht="14.25" customHeight="1">
      <c r="A78" s="112" t="s">
        <v>705</v>
      </c>
      <c r="B78" s="112" t="s">
        <v>285</v>
      </c>
      <c r="C78" s="112" t="s">
        <v>706</v>
      </c>
    </row>
    <row r="79" ht="14.25" customHeight="1">
      <c r="A79" s="112" t="s">
        <v>707</v>
      </c>
      <c r="B79" s="112" t="s">
        <v>285</v>
      </c>
      <c r="C79" s="112" t="s">
        <v>708</v>
      </c>
    </row>
    <row r="80" ht="14.25" customHeight="1">
      <c r="A80" s="112" t="s">
        <v>709</v>
      </c>
      <c r="B80" s="112" t="s">
        <v>222</v>
      </c>
      <c r="C80" s="112" t="s">
        <v>710</v>
      </c>
    </row>
    <row r="81" ht="14.25" customHeight="1">
      <c r="A81" s="112" t="s">
        <v>711</v>
      </c>
      <c r="B81" s="112" t="s">
        <v>222</v>
      </c>
      <c r="C81" s="112" t="s">
        <v>712</v>
      </c>
    </row>
    <row r="82" ht="14.25" customHeight="1">
      <c r="A82" s="112" t="s">
        <v>713</v>
      </c>
      <c r="B82" s="112" t="s">
        <v>222</v>
      </c>
      <c r="C82" s="112" t="s">
        <v>714</v>
      </c>
    </row>
    <row r="83" ht="14.25" customHeight="1">
      <c r="A83" s="112" t="s">
        <v>715</v>
      </c>
      <c r="B83" s="112" t="s">
        <v>222</v>
      </c>
      <c r="C83" s="112" t="s">
        <v>716</v>
      </c>
    </row>
    <row r="84" ht="14.25" customHeight="1">
      <c r="A84" s="112" t="s">
        <v>717</v>
      </c>
      <c r="B84" s="112" t="s">
        <v>222</v>
      </c>
      <c r="C84" s="112" t="s">
        <v>718</v>
      </c>
    </row>
    <row r="85" ht="14.25" customHeight="1">
      <c r="A85" s="112" t="s">
        <v>719</v>
      </c>
      <c r="B85" s="112" t="s">
        <v>222</v>
      </c>
      <c r="C85" s="112" t="s">
        <v>720</v>
      </c>
    </row>
    <row r="86" ht="14.25" customHeight="1">
      <c r="A86" s="112" t="s">
        <v>721</v>
      </c>
      <c r="B86" s="112" t="s">
        <v>222</v>
      </c>
      <c r="C86" s="112" t="s">
        <v>722</v>
      </c>
    </row>
    <row r="87" ht="14.25" customHeight="1">
      <c r="A87" s="112" t="s">
        <v>723</v>
      </c>
      <c r="B87" s="112" t="s">
        <v>222</v>
      </c>
      <c r="C87" s="112" t="s">
        <v>724</v>
      </c>
    </row>
    <row r="88" ht="14.25" customHeight="1">
      <c r="A88" s="112" t="s">
        <v>725</v>
      </c>
      <c r="B88" s="112" t="s">
        <v>214</v>
      </c>
      <c r="C88" s="112" t="s">
        <v>726</v>
      </c>
    </row>
    <row r="89" ht="14.25" customHeight="1">
      <c r="A89" s="112" t="s">
        <v>727</v>
      </c>
      <c r="B89" s="112" t="s">
        <v>214</v>
      </c>
      <c r="C89" s="112" t="s">
        <v>728</v>
      </c>
    </row>
    <row r="90" ht="14.25" customHeight="1">
      <c r="A90" s="112" t="s">
        <v>729</v>
      </c>
      <c r="B90" s="112" t="s">
        <v>214</v>
      </c>
      <c r="C90" s="112" t="s">
        <v>730</v>
      </c>
    </row>
    <row r="91" ht="14.25" customHeight="1">
      <c r="A91" s="112" t="s">
        <v>731</v>
      </c>
      <c r="B91" s="112" t="s">
        <v>214</v>
      </c>
      <c r="C91" s="112" t="s">
        <v>732</v>
      </c>
    </row>
    <row r="92" ht="14.25" customHeight="1">
      <c r="A92" s="112" t="s">
        <v>733</v>
      </c>
      <c r="B92" s="112" t="s">
        <v>214</v>
      </c>
      <c r="C92" s="112" t="s">
        <v>734</v>
      </c>
    </row>
    <row r="93" ht="14.25" customHeight="1">
      <c r="A93" s="112" t="s">
        <v>735</v>
      </c>
      <c r="B93" s="112" t="s">
        <v>312</v>
      </c>
      <c r="C93" s="112" t="s">
        <v>736</v>
      </c>
    </row>
    <row r="94" ht="14.25" customHeight="1">
      <c r="A94" s="112" t="s">
        <v>737</v>
      </c>
      <c r="B94" s="112" t="s">
        <v>312</v>
      </c>
      <c r="C94" s="112" t="s">
        <v>738</v>
      </c>
    </row>
    <row r="95" ht="14.25" customHeight="1">
      <c r="A95" s="112" t="s">
        <v>739</v>
      </c>
      <c r="B95" s="112" t="s">
        <v>312</v>
      </c>
      <c r="C95" s="112" t="s">
        <v>740</v>
      </c>
    </row>
    <row r="96" ht="14.25" customHeight="1">
      <c r="A96" s="112" t="s">
        <v>741</v>
      </c>
      <c r="B96" s="112" t="s">
        <v>312</v>
      </c>
      <c r="C96" s="112" t="s">
        <v>742</v>
      </c>
    </row>
    <row r="97" ht="14.25" customHeight="1">
      <c r="A97" s="112" t="s">
        <v>743</v>
      </c>
      <c r="B97" s="112" t="s">
        <v>312</v>
      </c>
      <c r="C97" s="112" t="s">
        <v>744</v>
      </c>
    </row>
    <row r="98" ht="14.25" customHeight="1">
      <c r="A98" s="112" t="s">
        <v>745</v>
      </c>
      <c r="B98" s="112" t="s">
        <v>306</v>
      </c>
      <c r="C98" s="112" t="s">
        <v>746</v>
      </c>
    </row>
    <row r="99" ht="14.25" customHeight="1">
      <c r="A99" s="112" t="s">
        <v>747</v>
      </c>
      <c r="B99" s="112" t="s">
        <v>306</v>
      </c>
      <c r="C99" s="112" t="s">
        <v>748</v>
      </c>
    </row>
    <row r="100" ht="14.25" customHeight="1">
      <c r="A100" s="112" t="s">
        <v>749</v>
      </c>
      <c r="B100" s="112" t="s">
        <v>306</v>
      </c>
      <c r="C100" s="112" t="s">
        <v>750</v>
      </c>
    </row>
    <row r="101" ht="14.25" customHeight="1">
      <c r="A101" s="112" t="s">
        <v>751</v>
      </c>
      <c r="B101" s="112" t="s">
        <v>306</v>
      </c>
      <c r="C101" s="112" t="s">
        <v>752</v>
      </c>
    </row>
    <row r="102" ht="14.25" customHeight="1">
      <c r="A102" s="112" t="s">
        <v>753</v>
      </c>
      <c r="B102" s="112" t="s">
        <v>514</v>
      </c>
      <c r="C102" s="112" t="s">
        <v>754</v>
      </c>
    </row>
    <row r="103" ht="14.25" customHeight="1">
      <c r="A103" s="112" t="s">
        <v>755</v>
      </c>
      <c r="B103" s="112" t="s">
        <v>514</v>
      </c>
      <c r="C103" s="112" t="s">
        <v>756</v>
      </c>
    </row>
    <row r="104" ht="14.25" customHeight="1">
      <c r="A104" s="112" t="s">
        <v>757</v>
      </c>
      <c r="B104" s="112" t="s">
        <v>514</v>
      </c>
      <c r="C104" s="112" t="s">
        <v>758</v>
      </c>
    </row>
    <row r="105" ht="14.25" customHeight="1">
      <c r="A105" s="112" t="s">
        <v>759</v>
      </c>
      <c r="B105" s="112" t="s">
        <v>514</v>
      </c>
      <c r="C105" s="112" t="s">
        <v>760</v>
      </c>
    </row>
    <row r="106" ht="14.25" customHeight="1">
      <c r="A106" s="112" t="s">
        <v>761</v>
      </c>
      <c r="B106" s="112" t="s">
        <v>762</v>
      </c>
      <c r="C106" s="112" t="s">
        <v>763</v>
      </c>
    </row>
    <row r="107" ht="14.25" customHeight="1">
      <c r="A107" s="112" t="s">
        <v>764</v>
      </c>
      <c r="B107" s="112" t="s">
        <v>765</v>
      </c>
      <c r="C107" s="112" t="s">
        <v>766</v>
      </c>
    </row>
    <row r="108" ht="14.25" customHeight="1">
      <c r="A108" s="112" t="s">
        <v>767</v>
      </c>
      <c r="B108" s="112" t="s">
        <v>765</v>
      </c>
      <c r="C108" s="112" t="s">
        <v>768</v>
      </c>
    </row>
    <row r="109" ht="14.25" customHeight="1">
      <c r="A109" s="112" t="s">
        <v>769</v>
      </c>
      <c r="B109" s="112" t="s">
        <v>765</v>
      </c>
      <c r="C109" s="112" t="s">
        <v>770</v>
      </c>
    </row>
    <row r="110" ht="14.25" customHeight="1">
      <c r="A110" s="112" t="s">
        <v>771</v>
      </c>
      <c r="B110" s="112" t="s">
        <v>317</v>
      </c>
      <c r="C110" s="112" t="s">
        <v>772</v>
      </c>
    </row>
    <row r="111" ht="14.25" customHeight="1">
      <c r="A111" s="112" t="s">
        <v>773</v>
      </c>
      <c r="B111" s="112" t="s">
        <v>317</v>
      </c>
      <c r="C111" s="112" t="s">
        <v>774</v>
      </c>
    </row>
    <row r="112" ht="14.25" customHeight="1">
      <c r="A112" s="112" t="s">
        <v>775</v>
      </c>
      <c r="B112" s="112" t="s">
        <v>317</v>
      </c>
      <c r="C112" s="112" t="s">
        <v>776</v>
      </c>
    </row>
    <row r="113" ht="14.25" customHeight="1">
      <c r="A113" s="112" t="s">
        <v>777</v>
      </c>
      <c r="B113" s="112" t="s">
        <v>170</v>
      </c>
      <c r="C113" s="112" t="s">
        <v>778</v>
      </c>
    </row>
    <row r="114" ht="14.25" customHeight="1">
      <c r="A114" s="112" t="s">
        <v>779</v>
      </c>
      <c r="B114" s="112" t="s">
        <v>170</v>
      </c>
      <c r="C114" s="112" t="s">
        <v>780</v>
      </c>
    </row>
    <row r="115" ht="14.25" customHeight="1">
      <c r="A115" s="112" t="s">
        <v>781</v>
      </c>
      <c r="B115" s="112" t="s">
        <v>170</v>
      </c>
      <c r="C115" s="112" t="s">
        <v>782</v>
      </c>
    </row>
    <row r="116" ht="14.25" customHeight="1">
      <c r="A116" s="112" t="s">
        <v>783</v>
      </c>
      <c r="B116" s="112" t="s">
        <v>138</v>
      </c>
      <c r="C116" s="112" t="s">
        <v>784</v>
      </c>
    </row>
    <row r="117" ht="14.25" customHeight="1">
      <c r="A117" s="112" t="s">
        <v>785</v>
      </c>
      <c r="B117" s="112" t="s">
        <v>138</v>
      </c>
      <c r="C117" s="112" t="s">
        <v>786</v>
      </c>
    </row>
    <row r="118" ht="14.25" customHeight="1">
      <c r="A118" s="112" t="s">
        <v>787</v>
      </c>
      <c r="B118" s="112" t="s">
        <v>138</v>
      </c>
      <c r="C118" s="112" t="s">
        <v>788</v>
      </c>
    </row>
    <row r="119" ht="14.25" customHeight="1">
      <c r="A119" s="112" t="s">
        <v>789</v>
      </c>
      <c r="B119" s="112" t="s">
        <v>138</v>
      </c>
      <c r="C119" s="112" t="s">
        <v>790</v>
      </c>
    </row>
    <row r="120" ht="14.25" customHeight="1">
      <c r="A120" s="112" t="s">
        <v>791</v>
      </c>
      <c r="B120" s="112" t="s">
        <v>138</v>
      </c>
      <c r="C120" s="112" t="s">
        <v>792</v>
      </c>
    </row>
    <row r="121" ht="14.25" customHeight="1">
      <c r="A121" s="112" t="s">
        <v>793</v>
      </c>
      <c r="B121" s="112" t="s">
        <v>138</v>
      </c>
      <c r="C121" s="112" t="s">
        <v>794</v>
      </c>
    </row>
    <row r="122" ht="14.25" customHeight="1">
      <c r="A122" s="112" t="s">
        <v>795</v>
      </c>
      <c r="B122" s="112" t="s">
        <v>796</v>
      </c>
      <c r="C122" s="112" t="s">
        <v>797</v>
      </c>
    </row>
    <row r="123" ht="14.25" customHeight="1">
      <c r="A123" s="112" t="s">
        <v>798</v>
      </c>
      <c r="B123" s="112" t="s">
        <v>796</v>
      </c>
      <c r="C123" s="112" t="s">
        <v>799</v>
      </c>
    </row>
    <row r="124" ht="14.25" customHeight="1">
      <c r="A124" s="112" t="s">
        <v>800</v>
      </c>
      <c r="B124" s="112" t="s">
        <v>796</v>
      </c>
      <c r="C124" s="112" t="s">
        <v>801</v>
      </c>
    </row>
    <row r="125" ht="14.25" customHeight="1">
      <c r="A125" s="112" t="s">
        <v>802</v>
      </c>
      <c r="B125" s="112" t="s">
        <v>796</v>
      </c>
      <c r="C125" s="112" t="s">
        <v>803</v>
      </c>
    </row>
    <row r="126" ht="14.25" customHeight="1">
      <c r="A126" s="112" t="s">
        <v>804</v>
      </c>
      <c r="B126" s="112" t="s">
        <v>796</v>
      </c>
      <c r="C126" s="112" t="s">
        <v>805</v>
      </c>
    </row>
    <row r="127" ht="14.25" customHeight="1">
      <c r="A127" s="112" t="s">
        <v>806</v>
      </c>
      <c r="B127" s="112" t="s">
        <v>796</v>
      </c>
      <c r="C127" s="112" t="s">
        <v>807</v>
      </c>
    </row>
    <row r="128" ht="14.25" customHeight="1">
      <c r="A128" s="112" t="s">
        <v>808</v>
      </c>
      <c r="B128" s="112" t="s">
        <v>796</v>
      </c>
      <c r="C128" s="112" t="s">
        <v>809</v>
      </c>
    </row>
    <row r="129" ht="14.25" customHeight="1">
      <c r="A129" s="112" t="s">
        <v>810</v>
      </c>
      <c r="B129" s="112" t="s">
        <v>796</v>
      </c>
      <c r="C129" s="112" t="s">
        <v>811</v>
      </c>
    </row>
    <row r="130" ht="14.25" customHeight="1">
      <c r="A130" s="112" t="s">
        <v>812</v>
      </c>
      <c r="B130" s="112" t="s">
        <v>66</v>
      </c>
      <c r="C130" s="112" t="s">
        <v>813</v>
      </c>
    </row>
    <row r="131" ht="14.25" customHeight="1">
      <c r="A131" s="112" t="s">
        <v>814</v>
      </c>
      <c r="B131" s="112" t="s">
        <v>62</v>
      </c>
      <c r="C131" s="112" t="s">
        <v>815</v>
      </c>
    </row>
    <row r="132" ht="14.25" customHeight="1">
      <c r="A132" s="112" t="s">
        <v>816</v>
      </c>
      <c r="B132" s="112" t="s">
        <v>62</v>
      </c>
      <c r="C132" s="112" t="s">
        <v>817</v>
      </c>
    </row>
    <row r="133" ht="14.25" customHeight="1">
      <c r="A133" s="112" t="s">
        <v>818</v>
      </c>
      <c r="B133" s="112" t="s">
        <v>819</v>
      </c>
      <c r="C133" s="112" t="s">
        <v>820</v>
      </c>
    </row>
    <row r="134" ht="14.25" customHeight="1">
      <c r="A134" s="112" t="s">
        <v>821</v>
      </c>
      <c r="B134" s="112" t="s">
        <v>819</v>
      </c>
      <c r="C134" s="112" t="s">
        <v>822</v>
      </c>
    </row>
    <row r="135" ht="14.25" customHeight="1">
      <c r="A135" s="112" t="s">
        <v>823</v>
      </c>
      <c r="B135" s="112" t="s">
        <v>824</v>
      </c>
      <c r="C135" s="112" t="s">
        <v>825</v>
      </c>
    </row>
    <row r="136" ht="14.25" customHeight="1">
      <c r="A136" s="112" t="s">
        <v>826</v>
      </c>
      <c r="B136" s="112" t="s">
        <v>824</v>
      </c>
      <c r="C136" s="112" t="s">
        <v>827</v>
      </c>
    </row>
    <row r="137" ht="14.25" customHeight="1">
      <c r="A137" s="112" t="s">
        <v>823</v>
      </c>
      <c r="B137" s="112" t="s">
        <v>824</v>
      </c>
      <c r="C137" s="112" t="s">
        <v>828</v>
      </c>
    </row>
    <row r="138" ht="14.25" customHeight="1">
      <c r="A138" s="112" t="s">
        <v>823</v>
      </c>
      <c r="B138" s="112" t="s">
        <v>824</v>
      </c>
      <c r="C138" s="112" t="s">
        <v>829</v>
      </c>
    </row>
    <row r="139" ht="14.25" customHeight="1">
      <c r="A139" s="112" t="s">
        <v>830</v>
      </c>
      <c r="B139" s="112" t="s">
        <v>824</v>
      </c>
      <c r="C139" s="112" t="s">
        <v>831</v>
      </c>
    </row>
    <row r="140" ht="14.25" customHeight="1">
      <c r="A140" s="112" t="s">
        <v>832</v>
      </c>
      <c r="B140" s="112" t="s">
        <v>824</v>
      </c>
      <c r="C140" s="112" t="s">
        <v>833</v>
      </c>
    </row>
    <row r="141" ht="14.25" customHeight="1">
      <c r="A141" s="112" t="s">
        <v>834</v>
      </c>
      <c r="B141" s="112" t="s">
        <v>824</v>
      </c>
      <c r="C141" s="112" t="s">
        <v>835</v>
      </c>
    </row>
    <row r="142" ht="14.25" customHeight="1">
      <c r="A142" s="112" t="s">
        <v>836</v>
      </c>
      <c r="B142" s="112" t="s">
        <v>837</v>
      </c>
      <c r="C142" s="112" t="s">
        <v>838</v>
      </c>
    </row>
    <row r="143" ht="14.25" customHeight="1">
      <c r="A143" s="112" t="s">
        <v>836</v>
      </c>
      <c r="B143" s="112" t="s">
        <v>837</v>
      </c>
      <c r="C143" s="112" t="s">
        <v>839</v>
      </c>
    </row>
    <row r="144" ht="14.25" customHeight="1">
      <c r="A144" s="112" t="s">
        <v>836</v>
      </c>
      <c r="B144" s="112" t="s">
        <v>837</v>
      </c>
      <c r="C144" s="112" t="s">
        <v>840</v>
      </c>
    </row>
    <row r="145" ht="14.25" customHeight="1">
      <c r="A145" s="112" t="s">
        <v>841</v>
      </c>
      <c r="B145" s="112" t="s">
        <v>837</v>
      </c>
      <c r="C145" s="112" t="s">
        <v>842</v>
      </c>
    </row>
    <row r="146" ht="14.25" customHeight="1">
      <c r="A146" s="112" t="s">
        <v>843</v>
      </c>
      <c r="B146" s="112" t="s">
        <v>837</v>
      </c>
      <c r="C146" s="112" t="s">
        <v>844</v>
      </c>
    </row>
    <row r="147" ht="14.25" customHeight="1">
      <c r="A147" s="112" t="s">
        <v>845</v>
      </c>
      <c r="B147" s="112" t="s">
        <v>837</v>
      </c>
      <c r="C147" s="112" t="s">
        <v>846</v>
      </c>
    </row>
    <row r="148" ht="14.25" customHeight="1">
      <c r="A148" s="112" t="s">
        <v>847</v>
      </c>
      <c r="B148" s="112" t="s">
        <v>837</v>
      </c>
      <c r="C148" s="112" t="s">
        <v>848</v>
      </c>
    </row>
    <row r="149" ht="14.25" customHeight="1">
      <c r="A149" s="112" t="s">
        <v>849</v>
      </c>
      <c r="B149" s="112" t="s">
        <v>837</v>
      </c>
      <c r="C149" s="112" t="s">
        <v>850</v>
      </c>
    </row>
    <row r="150" ht="14.25" customHeight="1">
      <c r="A150" s="112" t="s">
        <v>851</v>
      </c>
      <c r="B150" s="112" t="s">
        <v>837</v>
      </c>
      <c r="C150" s="112" t="s">
        <v>852</v>
      </c>
    </row>
    <row r="151" ht="14.25" customHeight="1">
      <c r="A151" s="112" t="s">
        <v>853</v>
      </c>
      <c r="B151" s="112" t="s">
        <v>837</v>
      </c>
      <c r="C151" s="112" t="s">
        <v>854</v>
      </c>
    </row>
    <row r="152" ht="14.25" customHeight="1">
      <c r="A152" s="112" t="s">
        <v>855</v>
      </c>
      <c r="B152" s="112" t="s">
        <v>837</v>
      </c>
      <c r="C152" s="112" t="s">
        <v>856</v>
      </c>
    </row>
    <row r="153" ht="14.25" customHeight="1">
      <c r="A153" s="112" t="s">
        <v>857</v>
      </c>
      <c r="B153" s="112" t="s">
        <v>858</v>
      </c>
      <c r="C153" s="112" t="s">
        <v>859</v>
      </c>
    </row>
    <row r="154" ht="14.25" customHeight="1">
      <c r="A154" s="112" t="s">
        <v>860</v>
      </c>
      <c r="B154" s="112" t="s">
        <v>858</v>
      </c>
      <c r="C154" s="112" t="s">
        <v>861</v>
      </c>
    </row>
    <row r="155" ht="14.25" customHeight="1">
      <c r="A155" s="112" t="s">
        <v>862</v>
      </c>
      <c r="B155" s="112" t="s">
        <v>858</v>
      </c>
      <c r="C155" s="112" t="s">
        <v>863</v>
      </c>
    </row>
    <row r="156" ht="14.25" customHeight="1">
      <c r="A156" s="112" t="s">
        <v>864</v>
      </c>
      <c r="B156" s="112" t="s">
        <v>858</v>
      </c>
      <c r="C156" s="112" t="s">
        <v>865</v>
      </c>
    </row>
    <row r="157" ht="14.25" customHeight="1">
      <c r="A157" s="112" t="s">
        <v>866</v>
      </c>
      <c r="B157" s="112" t="s">
        <v>547</v>
      </c>
      <c r="C157" s="112" t="s">
        <v>867</v>
      </c>
    </row>
    <row r="158" ht="14.25" customHeight="1">
      <c r="A158" s="112" t="s">
        <v>868</v>
      </c>
      <c r="B158" s="112" t="s">
        <v>547</v>
      </c>
      <c r="C158" s="112" t="s">
        <v>869</v>
      </c>
    </row>
    <row r="159" ht="14.25" customHeight="1">
      <c r="A159" s="112" t="s">
        <v>870</v>
      </c>
      <c r="B159" s="112" t="s">
        <v>547</v>
      </c>
      <c r="C159" s="112" t="s">
        <v>871</v>
      </c>
    </row>
    <row r="160" ht="14.25" customHeight="1">
      <c r="A160" s="112" t="s">
        <v>872</v>
      </c>
      <c r="B160" s="112" t="s">
        <v>547</v>
      </c>
      <c r="C160" s="112" t="s">
        <v>873</v>
      </c>
    </row>
    <row r="161" ht="14.25" customHeight="1">
      <c r="A161" s="112" t="s">
        <v>874</v>
      </c>
      <c r="B161" s="112" t="s">
        <v>549</v>
      </c>
      <c r="C161" s="112" t="s">
        <v>875</v>
      </c>
    </row>
    <row r="162" ht="14.25" customHeight="1">
      <c r="A162" s="112" t="s">
        <v>876</v>
      </c>
      <c r="B162" s="112" t="s">
        <v>549</v>
      </c>
      <c r="C162" s="112" t="s">
        <v>877</v>
      </c>
    </row>
    <row r="163" ht="14.25" customHeight="1">
      <c r="A163" s="112" t="s">
        <v>878</v>
      </c>
      <c r="B163" s="112" t="s">
        <v>549</v>
      </c>
      <c r="C163" s="112" t="s">
        <v>879</v>
      </c>
    </row>
    <row r="164" ht="14.25" customHeight="1">
      <c r="A164" s="112" t="s">
        <v>880</v>
      </c>
      <c r="B164" s="112" t="s">
        <v>549</v>
      </c>
      <c r="C164" s="112" t="s">
        <v>881</v>
      </c>
    </row>
    <row r="165" ht="14.25" customHeight="1">
      <c r="A165" s="112" t="s">
        <v>882</v>
      </c>
      <c r="B165" s="112" t="s">
        <v>549</v>
      </c>
      <c r="C165" s="112" t="s">
        <v>883</v>
      </c>
    </row>
    <row r="166" ht="14.25" customHeight="1">
      <c r="A166" s="112" t="s">
        <v>884</v>
      </c>
      <c r="B166" s="112" t="s">
        <v>549</v>
      </c>
      <c r="C166" s="112" t="s">
        <v>885</v>
      </c>
    </row>
    <row r="167" ht="14.25" customHeight="1">
      <c r="A167" s="112" t="s">
        <v>886</v>
      </c>
      <c r="B167" s="112" t="s">
        <v>549</v>
      </c>
      <c r="C167" s="112" t="s">
        <v>887</v>
      </c>
    </row>
    <row r="168" ht="14.25" customHeight="1">
      <c r="A168" s="112" t="s">
        <v>888</v>
      </c>
      <c r="B168" s="112" t="s">
        <v>549</v>
      </c>
      <c r="C168" s="112" t="s">
        <v>889</v>
      </c>
    </row>
    <row r="169" ht="14.25" customHeight="1">
      <c r="A169" s="112" t="s">
        <v>890</v>
      </c>
      <c r="B169" s="112" t="s">
        <v>549</v>
      </c>
      <c r="C169" s="112" t="s">
        <v>891</v>
      </c>
    </row>
    <row r="170" ht="14.25" customHeight="1">
      <c r="A170" s="112" t="s">
        <v>892</v>
      </c>
      <c r="B170" s="112" t="s">
        <v>549</v>
      </c>
      <c r="C170" s="112" t="s">
        <v>893</v>
      </c>
    </row>
    <row r="171" ht="14.25" customHeight="1">
      <c r="A171" s="112" t="s">
        <v>894</v>
      </c>
      <c r="B171" s="112" t="s">
        <v>549</v>
      </c>
      <c r="C171" s="112" t="s">
        <v>895</v>
      </c>
    </row>
    <row r="172" ht="14.25" customHeight="1">
      <c r="A172" s="112" t="s">
        <v>896</v>
      </c>
      <c r="B172" s="112" t="s">
        <v>551</v>
      </c>
      <c r="C172" s="112" t="s">
        <v>897</v>
      </c>
    </row>
    <row r="173" ht="14.25" customHeight="1">
      <c r="A173" s="112" t="s">
        <v>898</v>
      </c>
      <c r="B173" s="112" t="s">
        <v>551</v>
      </c>
      <c r="C173" s="112" t="s">
        <v>899</v>
      </c>
    </row>
    <row r="174" ht="14.25" customHeight="1">
      <c r="A174" s="112" t="s">
        <v>900</v>
      </c>
      <c r="B174" s="112" t="s">
        <v>551</v>
      </c>
      <c r="C174" s="112" t="s">
        <v>901</v>
      </c>
    </row>
    <row r="175" ht="14.25" customHeight="1">
      <c r="A175" s="112" t="s">
        <v>902</v>
      </c>
      <c r="B175" s="112" t="s">
        <v>551</v>
      </c>
      <c r="C175" s="112" t="s">
        <v>903</v>
      </c>
    </row>
    <row r="176" ht="14.25" customHeight="1">
      <c r="A176" s="112" t="s">
        <v>904</v>
      </c>
      <c r="B176" s="112" t="s">
        <v>551</v>
      </c>
      <c r="C176" s="112" t="s">
        <v>905</v>
      </c>
    </row>
    <row r="177" ht="14.25" customHeight="1">
      <c r="A177" s="112" t="s">
        <v>906</v>
      </c>
      <c r="B177" s="112" t="s">
        <v>907</v>
      </c>
      <c r="C177" s="112" t="s">
        <v>908</v>
      </c>
    </row>
    <row r="178" ht="14.25" customHeight="1">
      <c r="A178" s="112" t="s">
        <v>909</v>
      </c>
      <c r="B178" s="112" t="s">
        <v>907</v>
      </c>
      <c r="C178" s="112" t="s">
        <v>910</v>
      </c>
    </row>
    <row r="179" ht="14.25" customHeight="1">
      <c r="A179" s="112" t="s">
        <v>911</v>
      </c>
      <c r="B179" s="112" t="s">
        <v>907</v>
      </c>
      <c r="C179" s="112" t="s">
        <v>912</v>
      </c>
    </row>
    <row r="180" ht="14.25" customHeight="1">
      <c r="A180" s="112" t="s">
        <v>913</v>
      </c>
      <c r="B180" s="112" t="s">
        <v>907</v>
      </c>
      <c r="C180" s="112" t="s">
        <v>914</v>
      </c>
    </row>
    <row r="181" ht="14.25" customHeight="1">
      <c r="A181" s="112" t="s">
        <v>915</v>
      </c>
      <c r="B181" s="112" t="s">
        <v>907</v>
      </c>
      <c r="C181" s="112" t="s">
        <v>916</v>
      </c>
    </row>
    <row r="182" ht="14.25" customHeight="1">
      <c r="A182" s="112" t="s">
        <v>915</v>
      </c>
      <c r="B182" s="112" t="s">
        <v>907</v>
      </c>
      <c r="C182" s="112" t="s">
        <v>917</v>
      </c>
    </row>
    <row r="183" ht="14.25" customHeight="1">
      <c r="A183" s="112" t="s">
        <v>918</v>
      </c>
      <c r="B183" s="112" t="s">
        <v>907</v>
      </c>
      <c r="C183" s="112" t="s">
        <v>919</v>
      </c>
    </row>
    <row r="184" ht="14.25" customHeight="1">
      <c r="A184" s="112" t="s">
        <v>915</v>
      </c>
      <c r="B184" s="112" t="s">
        <v>907</v>
      </c>
      <c r="C184" s="112" t="s">
        <v>920</v>
      </c>
    </row>
    <row r="185" ht="14.25" customHeight="1">
      <c r="A185" s="112" t="s">
        <v>915</v>
      </c>
      <c r="B185" s="112" t="s">
        <v>907</v>
      </c>
      <c r="C185" s="112" t="s">
        <v>921</v>
      </c>
    </row>
    <row r="186" ht="14.25" customHeight="1">
      <c r="A186" s="112" t="s">
        <v>922</v>
      </c>
      <c r="B186" s="112" t="s">
        <v>907</v>
      </c>
      <c r="C186" s="112" t="s">
        <v>923</v>
      </c>
    </row>
    <row r="187" ht="14.25" customHeight="1">
      <c r="A187" s="112" t="s">
        <v>924</v>
      </c>
      <c r="B187" s="112" t="s">
        <v>907</v>
      </c>
      <c r="C187" s="112" t="s">
        <v>925</v>
      </c>
    </row>
    <row r="188" ht="14.25" customHeight="1">
      <c r="A188" s="112" t="s">
        <v>926</v>
      </c>
      <c r="B188" s="112" t="s">
        <v>907</v>
      </c>
      <c r="C188" s="112" t="s">
        <v>927</v>
      </c>
    </row>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2023-12-09T12:26:16Z</dcterms:created>
  <dc:creator>Priyesh Gosai</dc:creator>
</cp:coreProperties>
</file>